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zhangzihe/Downloads/"/>
    </mc:Choice>
  </mc:AlternateContent>
  <xr:revisionPtr revIDLastSave="0" documentId="13_ncr:1_{A533BA85-63D8-1946-8EDD-FA6DE717B533}" xr6:coauthVersionLast="47" xr6:coauthVersionMax="47" xr10:uidLastSave="{00000000-0000-0000-0000-000000000000}"/>
  <bookViews>
    <workbookView xWindow="0" yWindow="500" windowWidth="38400" windowHeight="21100" activeTab="5" xr2:uid="{00000000-000D-0000-FFFF-FFFF00000000}"/>
  </bookViews>
  <sheets>
    <sheet name="Cap Table" sheetId="7" r:id="rId1"/>
    <sheet name="Model" sheetId="1" r:id="rId2"/>
    <sheet name="Trading Comps" sheetId="5" r:id="rId3"/>
    <sheet name="Valuation" sheetId="6" r:id="rId4"/>
    <sheet name="Assumptions" sheetId="3" r:id="rId5"/>
    <sheet name="Raw Number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7" l="1"/>
  <c r="B14" i="7"/>
  <c r="B4" i="7"/>
  <c r="B2" i="7"/>
  <c r="B25" i="6"/>
  <c r="B8" i="6"/>
  <c r="B21" i="6" s="1"/>
  <c r="B24" i="5"/>
  <c r="B23" i="5"/>
  <c r="B22" i="5"/>
  <c r="B26" i="5" s="1"/>
  <c r="B21" i="5"/>
  <c r="R16" i="5"/>
  <c r="Q16" i="5"/>
  <c r="P16" i="5"/>
  <c r="O16" i="5"/>
  <c r="N16" i="5"/>
  <c r="L16" i="5"/>
  <c r="R15" i="5"/>
  <c r="Q15" i="5"/>
  <c r="P15" i="5"/>
  <c r="O15" i="5"/>
  <c r="N15" i="5"/>
  <c r="M13" i="5"/>
  <c r="L13" i="5"/>
  <c r="I13" i="5"/>
  <c r="H13" i="5"/>
  <c r="M12" i="5"/>
  <c r="L12" i="5"/>
  <c r="I12" i="5"/>
  <c r="H12" i="5"/>
  <c r="M11" i="5"/>
  <c r="L11" i="5"/>
  <c r="I11" i="5"/>
  <c r="H11" i="5"/>
  <c r="M10" i="5"/>
  <c r="M15" i="5" s="1"/>
  <c r="L10" i="5"/>
  <c r="I10" i="5"/>
  <c r="H10" i="5"/>
  <c r="H15" i="5" s="1"/>
  <c r="M9" i="5"/>
  <c r="M16" i="5" s="1"/>
  <c r="L9" i="5"/>
  <c r="L15" i="5" s="1"/>
  <c r="I9" i="5"/>
  <c r="I16" i="5" s="1"/>
  <c r="H9" i="5"/>
  <c r="H16" i="5" s="1"/>
  <c r="M8" i="5"/>
  <c r="L8" i="5"/>
  <c r="I8" i="5"/>
  <c r="H8" i="5"/>
  <c r="Y108" i="1"/>
  <c r="X108" i="1"/>
  <c r="O108" i="1"/>
  <c r="N108" i="1"/>
  <c r="M108" i="1"/>
  <c r="L108" i="1"/>
  <c r="K108" i="1"/>
  <c r="J108" i="1"/>
  <c r="W108" i="1" s="1"/>
  <c r="I108" i="1"/>
  <c r="V108" i="1" s="1"/>
  <c r="H108" i="1"/>
  <c r="G108" i="1"/>
  <c r="F108" i="1"/>
  <c r="E108" i="1"/>
  <c r="D108" i="1"/>
  <c r="C108" i="1"/>
  <c r="U108" i="1" s="1"/>
  <c r="B108" i="1"/>
  <c r="W107" i="1"/>
  <c r="U107" i="1"/>
  <c r="O107" i="1"/>
  <c r="N107" i="1"/>
  <c r="M107" i="1"/>
  <c r="L107" i="1"/>
  <c r="K107" i="1"/>
  <c r="J107" i="1"/>
  <c r="K105" i="1" s="1"/>
  <c r="I107" i="1"/>
  <c r="V107" i="1" s="1"/>
  <c r="H107" i="1"/>
  <c r="I105" i="1" s="1"/>
  <c r="G107" i="1"/>
  <c r="F107" i="1"/>
  <c r="E107" i="1"/>
  <c r="D107" i="1"/>
  <c r="C107" i="1"/>
  <c r="B107" i="1"/>
  <c r="C105" i="1" s="1"/>
  <c r="W106" i="1"/>
  <c r="S106" i="1"/>
  <c r="R106" i="1"/>
  <c r="Q106" i="1"/>
  <c r="P106" i="1"/>
  <c r="Y106" i="1" s="1"/>
  <c r="O106" i="1"/>
  <c r="X106" i="1" s="1"/>
  <c r="N106" i="1"/>
  <c r="M106" i="1"/>
  <c r="L106" i="1"/>
  <c r="K106" i="1"/>
  <c r="J106" i="1"/>
  <c r="I106" i="1"/>
  <c r="H106" i="1"/>
  <c r="G106" i="1"/>
  <c r="F106" i="1"/>
  <c r="V106" i="1" s="1"/>
  <c r="E106" i="1"/>
  <c r="D106" i="1"/>
  <c r="C106" i="1"/>
  <c r="B106" i="1"/>
  <c r="U106" i="1" s="1"/>
  <c r="W105" i="1"/>
  <c r="U105" i="1"/>
  <c r="P105" i="1"/>
  <c r="Y105" i="1" s="1"/>
  <c r="O105" i="1"/>
  <c r="N105" i="1"/>
  <c r="X105" i="1" s="1"/>
  <c r="M105" i="1"/>
  <c r="L105" i="1"/>
  <c r="J105" i="1"/>
  <c r="H105" i="1"/>
  <c r="G105" i="1"/>
  <c r="F105" i="1"/>
  <c r="V105" i="1" s="1"/>
  <c r="E105" i="1"/>
  <c r="D105" i="1"/>
  <c r="B105" i="1"/>
  <c r="V104" i="1"/>
  <c r="O104" i="1"/>
  <c r="N104" i="1"/>
  <c r="M104" i="1"/>
  <c r="L104" i="1"/>
  <c r="K104" i="1"/>
  <c r="W104" i="1" s="1"/>
  <c r="J104" i="1"/>
  <c r="I104" i="1"/>
  <c r="H104" i="1"/>
  <c r="G104" i="1"/>
  <c r="F104" i="1"/>
  <c r="E104" i="1"/>
  <c r="D104" i="1"/>
  <c r="U104" i="1" s="1"/>
  <c r="C104" i="1"/>
  <c r="B104" i="1"/>
  <c r="O103" i="1"/>
  <c r="N103" i="1"/>
  <c r="M103" i="1"/>
  <c r="L103" i="1"/>
  <c r="K103" i="1"/>
  <c r="W103" i="1" s="1"/>
  <c r="J103" i="1"/>
  <c r="I103" i="1"/>
  <c r="H103" i="1"/>
  <c r="G103" i="1"/>
  <c r="F103" i="1"/>
  <c r="V103" i="1" s="1"/>
  <c r="E103" i="1"/>
  <c r="D103" i="1"/>
  <c r="U103" i="1" s="1"/>
  <c r="C103" i="1"/>
  <c r="B103" i="1"/>
  <c r="V102" i="1"/>
  <c r="O102" i="1"/>
  <c r="N102" i="1"/>
  <c r="M102" i="1"/>
  <c r="L102" i="1"/>
  <c r="K102" i="1"/>
  <c r="J102" i="1"/>
  <c r="W102" i="1" s="1"/>
  <c r="I102" i="1"/>
  <c r="H102" i="1"/>
  <c r="G102" i="1"/>
  <c r="F102" i="1"/>
  <c r="E102" i="1"/>
  <c r="D102" i="1"/>
  <c r="C102" i="1"/>
  <c r="B102" i="1"/>
  <c r="U102" i="1" s="1"/>
  <c r="Y101" i="1"/>
  <c r="O101" i="1"/>
  <c r="N101" i="1"/>
  <c r="X101" i="1" s="1"/>
  <c r="M101" i="1"/>
  <c r="L101" i="1"/>
  <c r="K101" i="1"/>
  <c r="J101" i="1"/>
  <c r="W101" i="1" s="1"/>
  <c r="I101" i="1"/>
  <c r="H101" i="1"/>
  <c r="G101" i="1"/>
  <c r="F101" i="1"/>
  <c r="V101" i="1" s="1"/>
  <c r="E101" i="1"/>
  <c r="U101" i="1" s="1"/>
  <c r="D101" i="1"/>
  <c r="C101" i="1"/>
  <c r="B101" i="1"/>
  <c r="Y100" i="1"/>
  <c r="X100" i="1"/>
  <c r="O100" i="1"/>
  <c r="N100" i="1"/>
  <c r="M100" i="1"/>
  <c r="L100" i="1"/>
  <c r="K100" i="1"/>
  <c r="J100" i="1"/>
  <c r="W100" i="1" s="1"/>
  <c r="I100" i="1"/>
  <c r="V100" i="1" s="1"/>
  <c r="H100" i="1"/>
  <c r="G100" i="1"/>
  <c r="F100" i="1"/>
  <c r="E100" i="1"/>
  <c r="D100" i="1"/>
  <c r="C100" i="1"/>
  <c r="U100" i="1" s="1"/>
  <c r="B100" i="1"/>
  <c r="O99" i="1"/>
  <c r="N99" i="1"/>
  <c r="M99" i="1"/>
  <c r="L99" i="1"/>
  <c r="K99" i="1"/>
  <c r="J99" i="1"/>
  <c r="W99" i="1" s="1"/>
  <c r="I99" i="1"/>
  <c r="H99" i="1"/>
  <c r="G99" i="1"/>
  <c r="F99" i="1"/>
  <c r="V99" i="1" s="1"/>
  <c r="E99" i="1"/>
  <c r="D99" i="1"/>
  <c r="C99" i="1"/>
  <c r="B99" i="1"/>
  <c r="U99" i="1" s="1"/>
  <c r="W98" i="1"/>
  <c r="S98" i="1"/>
  <c r="R98" i="1"/>
  <c r="Q98" i="1"/>
  <c r="P98" i="1"/>
  <c r="Y98" i="1" s="1"/>
  <c r="O98" i="1"/>
  <c r="X98" i="1" s="1"/>
  <c r="N98" i="1"/>
  <c r="M98" i="1"/>
  <c r="L98" i="1"/>
  <c r="K98" i="1"/>
  <c r="J98" i="1"/>
  <c r="I98" i="1"/>
  <c r="H98" i="1"/>
  <c r="G98" i="1"/>
  <c r="F98" i="1"/>
  <c r="V98" i="1" s="1"/>
  <c r="E98" i="1"/>
  <c r="D98" i="1"/>
  <c r="C98" i="1"/>
  <c r="B98" i="1"/>
  <c r="U98" i="1" s="1"/>
  <c r="W97" i="1"/>
  <c r="S97" i="1"/>
  <c r="R97" i="1"/>
  <c r="Q97" i="1"/>
  <c r="P97" i="1"/>
  <c r="O97" i="1"/>
  <c r="N97" i="1"/>
  <c r="X97" i="1" s="1"/>
  <c r="M97" i="1"/>
  <c r="L97" i="1"/>
  <c r="K97" i="1"/>
  <c r="J97" i="1"/>
  <c r="I97" i="1"/>
  <c r="H97" i="1"/>
  <c r="G97" i="1"/>
  <c r="F97" i="1"/>
  <c r="V97" i="1" s="1"/>
  <c r="E97" i="1"/>
  <c r="D97" i="1"/>
  <c r="U97" i="1" s="1"/>
  <c r="C97" i="1"/>
  <c r="B97" i="1"/>
  <c r="V96" i="1"/>
  <c r="O96" i="1"/>
  <c r="N96" i="1"/>
  <c r="M96" i="1"/>
  <c r="L96" i="1"/>
  <c r="K96" i="1"/>
  <c r="J96" i="1"/>
  <c r="W96" i="1" s="1"/>
  <c r="I96" i="1"/>
  <c r="H96" i="1"/>
  <c r="G96" i="1"/>
  <c r="F96" i="1"/>
  <c r="E96" i="1"/>
  <c r="D96" i="1"/>
  <c r="U96" i="1" s="1"/>
  <c r="C96" i="1"/>
  <c r="B96" i="1"/>
  <c r="Y95" i="1"/>
  <c r="U95" i="1"/>
  <c r="O95" i="1"/>
  <c r="N95" i="1"/>
  <c r="X95" i="1" s="1"/>
  <c r="M95" i="1"/>
  <c r="L95" i="1"/>
  <c r="K95" i="1"/>
  <c r="J95" i="1"/>
  <c r="W95" i="1" s="1"/>
  <c r="I95" i="1"/>
  <c r="H95" i="1"/>
  <c r="G95" i="1"/>
  <c r="F95" i="1"/>
  <c r="V95" i="1" s="1"/>
  <c r="E95" i="1"/>
  <c r="D95" i="1"/>
  <c r="C95" i="1"/>
  <c r="B95" i="1"/>
  <c r="Y94" i="1"/>
  <c r="X94" i="1"/>
  <c r="O94" i="1"/>
  <c r="N94" i="1"/>
  <c r="M94" i="1"/>
  <c r="L94" i="1"/>
  <c r="K94" i="1"/>
  <c r="J94" i="1"/>
  <c r="W94" i="1" s="1"/>
  <c r="I94" i="1"/>
  <c r="V94" i="1" s="1"/>
  <c r="H94" i="1"/>
  <c r="G94" i="1"/>
  <c r="F94" i="1"/>
  <c r="E94" i="1"/>
  <c r="D94" i="1"/>
  <c r="C94" i="1"/>
  <c r="B94" i="1"/>
  <c r="U94" i="1" s="1"/>
  <c r="Y93" i="1"/>
  <c r="O93" i="1"/>
  <c r="N93" i="1"/>
  <c r="X93" i="1" s="1"/>
  <c r="M93" i="1"/>
  <c r="L93" i="1"/>
  <c r="K93" i="1"/>
  <c r="J93" i="1"/>
  <c r="W93" i="1" s="1"/>
  <c r="I93" i="1"/>
  <c r="H93" i="1"/>
  <c r="G93" i="1"/>
  <c r="F93" i="1"/>
  <c r="V93" i="1" s="1"/>
  <c r="E93" i="1"/>
  <c r="U93" i="1" s="1"/>
  <c r="D93" i="1"/>
  <c r="C93" i="1"/>
  <c r="B93" i="1"/>
  <c r="Y92" i="1"/>
  <c r="X92" i="1"/>
  <c r="O92" i="1"/>
  <c r="N92" i="1"/>
  <c r="M92" i="1"/>
  <c r="L92" i="1"/>
  <c r="K92" i="1"/>
  <c r="J92" i="1"/>
  <c r="W92" i="1" s="1"/>
  <c r="I92" i="1"/>
  <c r="V92" i="1" s="1"/>
  <c r="H92" i="1"/>
  <c r="G92" i="1"/>
  <c r="F92" i="1"/>
  <c r="E92" i="1"/>
  <c r="D92" i="1"/>
  <c r="C92" i="1"/>
  <c r="U92" i="1" s="1"/>
  <c r="B92" i="1"/>
  <c r="Y91" i="1"/>
  <c r="O91" i="1"/>
  <c r="N91" i="1"/>
  <c r="X91" i="1" s="1"/>
  <c r="M91" i="1"/>
  <c r="L91" i="1"/>
  <c r="K91" i="1"/>
  <c r="J91" i="1"/>
  <c r="W91" i="1" s="1"/>
  <c r="I91" i="1"/>
  <c r="H91" i="1"/>
  <c r="G91" i="1"/>
  <c r="F91" i="1"/>
  <c r="V91" i="1" s="1"/>
  <c r="E91" i="1"/>
  <c r="D91" i="1"/>
  <c r="C91" i="1"/>
  <c r="B91" i="1"/>
  <c r="U91" i="1" s="1"/>
  <c r="V90" i="1"/>
  <c r="O90" i="1"/>
  <c r="N90" i="1"/>
  <c r="M90" i="1"/>
  <c r="L90" i="1"/>
  <c r="K90" i="1"/>
  <c r="J90" i="1"/>
  <c r="W90" i="1" s="1"/>
  <c r="I90" i="1"/>
  <c r="H90" i="1"/>
  <c r="G90" i="1"/>
  <c r="F90" i="1"/>
  <c r="E90" i="1"/>
  <c r="D90" i="1"/>
  <c r="C90" i="1"/>
  <c r="B90" i="1"/>
  <c r="U90" i="1" s="1"/>
  <c r="Y89" i="1"/>
  <c r="U89" i="1"/>
  <c r="O89" i="1"/>
  <c r="N89" i="1"/>
  <c r="X89" i="1" s="1"/>
  <c r="M89" i="1"/>
  <c r="L89" i="1"/>
  <c r="K89" i="1"/>
  <c r="J89" i="1"/>
  <c r="W89" i="1" s="1"/>
  <c r="I89" i="1"/>
  <c r="H89" i="1"/>
  <c r="G89" i="1"/>
  <c r="F89" i="1"/>
  <c r="V89" i="1" s="1"/>
  <c r="E89" i="1"/>
  <c r="D89" i="1"/>
  <c r="C89" i="1"/>
  <c r="B89" i="1"/>
  <c r="Y88" i="1"/>
  <c r="X88" i="1"/>
  <c r="O88" i="1"/>
  <c r="N88" i="1"/>
  <c r="M88" i="1"/>
  <c r="L88" i="1"/>
  <c r="K88" i="1"/>
  <c r="J88" i="1"/>
  <c r="W88" i="1" s="1"/>
  <c r="I88" i="1"/>
  <c r="H88" i="1"/>
  <c r="V88" i="1" s="1"/>
  <c r="G88" i="1"/>
  <c r="F88" i="1"/>
  <c r="E88" i="1"/>
  <c r="D88" i="1"/>
  <c r="C88" i="1"/>
  <c r="U88" i="1" s="1"/>
  <c r="B88" i="1"/>
  <c r="O87" i="1"/>
  <c r="N87" i="1"/>
  <c r="M87" i="1"/>
  <c r="L87" i="1"/>
  <c r="K87" i="1"/>
  <c r="J87" i="1"/>
  <c r="W87" i="1" s="1"/>
  <c r="I87" i="1"/>
  <c r="H87" i="1"/>
  <c r="G87" i="1"/>
  <c r="F87" i="1"/>
  <c r="V87" i="1" s="1"/>
  <c r="E87" i="1"/>
  <c r="D87" i="1"/>
  <c r="C87" i="1"/>
  <c r="B87" i="1"/>
  <c r="U87" i="1" s="1"/>
  <c r="W86" i="1"/>
  <c r="O86" i="1"/>
  <c r="N86" i="1"/>
  <c r="M86" i="1"/>
  <c r="L86" i="1"/>
  <c r="K86" i="1"/>
  <c r="J86" i="1"/>
  <c r="I86" i="1"/>
  <c r="H86" i="1"/>
  <c r="G86" i="1"/>
  <c r="F86" i="1"/>
  <c r="V86" i="1" s="1"/>
  <c r="E86" i="1"/>
  <c r="D86" i="1"/>
  <c r="U86" i="1" s="1"/>
  <c r="C86" i="1"/>
  <c r="B86" i="1"/>
  <c r="O85" i="1"/>
  <c r="N85" i="1"/>
  <c r="M85" i="1"/>
  <c r="W85" i="1" s="1"/>
  <c r="L85" i="1"/>
  <c r="K85" i="1"/>
  <c r="J85" i="1"/>
  <c r="I85" i="1"/>
  <c r="H85" i="1"/>
  <c r="G85" i="1"/>
  <c r="F85" i="1"/>
  <c r="V85" i="1" s="1"/>
  <c r="E85" i="1"/>
  <c r="D85" i="1"/>
  <c r="U85" i="1" s="1"/>
  <c r="C85" i="1"/>
  <c r="B85" i="1"/>
  <c r="O84" i="1"/>
  <c r="N84" i="1"/>
  <c r="M84" i="1"/>
  <c r="L84" i="1"/>
  <c r="K84" i="1"/>
  <c r="J84" i="1"/>
  <c r="W84" i="1" s="1"/>
  <c r="I84" i="1"/>
  <c r="H84" i="1"/>
  <c r="G84" i="1"/>
  <c r="V84" i="1" s="1"/>
  <c r="F84" i="1"/>
  <c r="E84" i="1"/>
  <c r="D84" i="1"/>
  <c r="U84" i="1" s="1"/>
  <c r="C84" i="1"/>
  <c r="B84" i="1"/>
  <c r="W83" i="1"/>
  <c r="O83" i="1"/>
  <c r="N83" i="1"/>
  <c r="M83" i="1"/>
  <c r="L83" i="1"/>
  <c r="K83" i="1"/>
  <c r="J83" i="1"/>
  <c r="I83" i="1"/>
  <c r="H83" i="1"/>
  <c r="G83" i="1"/>
  <c r="F83" i="1"/>
  <c r="V83" i="1" s="1"/>
  <c r="E83" i="1"/>
  <c r="D83" i="1"/>
  <c r="C83" i="1"/>
  <c r="U83" i="1" s="1"/>
  <c r="B83" i="1"/>
  <c r="V82" i="1"/>
  <c r="O82" i="1"/>
  <c r="N82" i="1"/>
  <c r="M82" i="1"/>
  <c r="L82" i="1"/>
  <c r="K82" i="1"/>
  <c r="J82" i="1"/>
  <c r="W82" i="1" s="1"/>
  <c r="I82" i="1"/>
  <c r="H82" i="1"/>
  <c r="G82" i="1"/>
  <c r="F82" i="1"/>
  <c r="E82" i="1"/>
  <c r="D82" i="1"/>
  <c r="C82" i="1"/>
  <c r="B82" i="1"/>
  <c r="U82" i="1" s="1"/>
  <c r="O81" i="1"/>
  <c r="N81" i="1"/>
  <c r="M81" i="1"/>
  <c r="L81" i="1"/>
  <c r="K81" i="1"/>
  <c r="J81" i="1"/>
  <c r="W81" i="1" s="1"/>
  <c r="I81" i="1"/>
  <c r="H81" i="1"/>
  <c r="G81" i="1"/>
  <c r="V81" i="1" s="1"/>
  <c r="F81" i="1"/>
  <c r="E81" i="1"/>
  <c r="D81" i="1"/>
  <c r="U81" i="1" s="1"/>
  <c r="C81" i="1"/>
  <c r="B81" i="1"/>
  <c r="O80" i="1"/>
  <c r="N80" i="1"/>
  <c r="M80" i="1"/>
  <c r="L80" i="1"/>
  <c r="K80" i="1"/>
  <c r="W80" i="1" s="1"/>
  <c r="J80" i="1"/>
  <c r="I80" i="1"/>
  <c r="H80" i="1"/>
  <c r="G80" i="1"/>
  <c r="F80" i="1"/>
  <c r="V80" i="1" s="1"/>
  <c r="E80" i="1"/>
  <c r="D80" i="1"/>
  <c r="C80" i="1"/>
  <c r="B80" i="1"/>
  <c r="U80" i="1" s="1"/>
  <c r="Y79" i="1"/>
  <c r="O79" i="1"/>
  <c r="N79" i="1"/>
  <c r="X79" i="1" s="1"/>
  <c r="M79" i="1"/>
  <c r="L79" i="1"/>
  <c r="K79" i="1"/>
  <c r="J79" i="1"/>
  <c r="W79" i="1" s="1"/>
  <c r="I79" i="1"/>
  <c r="H79" i="1"/>
  <c r="G79" i="1"/>
  <c r="F79" i="1"/>
  <c r="V79" i="1" s="1"/>
  <c r="E79" i="1"/>
  <c r="D79" i="1"/>
  <c r="C79" i="1"/>
  <c r="B79" i="1"/>
  <c r="U79" i="1" s="1"/>
  <c r="V78" i="1"/>
  <c r="O78" i="1"/>
  <c r="N78" i="1"/>
  <c r="M78" i="1"/>
  <c r="L78" i="1"/>
  <c r="K78" i="1"/>
  <c r="J78" i="1"/>
  <c r="W78" i="1" s="1"/>
  <c r="I78" i="1"/>
  <c r="H78" i="1"/>
  <c r="G78" i="1"/>
  <c r="F78" i="1"/>
  <c r="E78" i="1"/>
  <c r="D78" i="1"/>
  <c r="C78" i="1"/>
  <c r="B78" i="1"/>
  <c r="U78" i="1" s="1"/>
  <c r="O77" i="1"/>
  <c r="N77" i="1"/>
  <c r="M77" i="1"/>
  <c r="L77" i="1"/>
  <c r="K77" i="1"/>
  <c r="J77" i="1"/>
  <c r="W77" i="1" s="1"/>
  <c r="I77" i="1"/>
  <c r="H77" i="1"/>
  <c r="G77" i="1"/>
  <c r="V77" i="1" s="1"/>
  <c r="F77" i="1"/>
  <c r="E77" i="1"/>
  <c r="D77" i="1"/>
  <c r="U77" i="1" s="1"/>
  <c r="C77" i="1"/>
  <c r="B77" i="1"/>
  <c r="O76" i="1"/>
  <c r="N76" i="1"/>
  <c r="M76" i="1"/>
  <c r="L76" i="1"/>
  <c r="K76" i="1"/>
  <c r="J76" i="1"/>
  <c r="W76" i="1" s="1"/>
  <c r="I76" i="1"/>
  <c r="H76" i="1"/>
  <c r="G76" i="1"/>
  <c r="F76" i="1"/>
  <c r="V76" i="1" s="1"/>
  <c r="E76" i="1"/>
  <c r="D76" i="1"/>
  <c r="C76" i="1"/>
  <c r="B76" i="1"/>
  <c r="U76" i="1" s="1"/>
  <c r="O75" i="1"/>
  <c r="N75" i="1"/>
  <c r="M75" i="1"/>
  <c r="L75" i="1"/>
  <c r="K75" i="1"/>
  <c r="J75" i="1"/>
  <c r="W75" i="1" s="1"/>
  <c r="I75" i="1"/>
  <c r="H75" i="1"/>
  <c r="G75" i="1"/>
  <c r="F75" i="1"/>
  <c r="V75" i="1" s="1"/>
  <c r="E75" i="1"/>
  <c r="D75" i="1"/>
  <c r="C75" i="1"/>
  <c r="B75" i="1"/>
  <c r="U75" i="1" s="1"/>
  <c r="Y74" i="1"/>
  <c r="X74" i="1"/>
  <c r="O74" i="1"/>
  <c r="N74" i="1"/>
  <c r="M74" i="1"/>
  <c r="L74" i="1"/>
  <c r="K74" i="1"/>
  <c r="J74" i="1"/>
  <c r="W74" i="1" s="1"/>
  <c r="I74" i="1"/>
  <c r="V74" i="1" s="1"/>
  <c r="H74" i="1"/>
  <c r="G74" i="1"/>
  <c r="F74" i="1"/>
  <c r="E74" i="1"/>
  <c r="D74" i="1"/>
  <c r="C74" i="1"/>
  <c r="B74" i="1"/>
  <c r="U74" i="1" s="1"/>
  <c r="Y73" i="1"/>
  <c r="U73" i="1"/>
  <c r="O73" i="1"/>
  <c r="N73" i="1"/>
  <c r="X73" i="1" s="1"/>
  <c r="M73" i="1"/>
  <c r="L73" i="1"/>
  <c r="K73" i="1"/>
  <c r="J73" i="1"/>
  <c r="W73" i="1" s="1"/>
  <c r="I73" i="1"/>
  <c r="H73" i="1"/>
  <c r="G73" i="1"/>
  <c r="F73" i="1"/>
  <c r="V73" i="1" s="1"/>
  <c r="E73" i="1"/>
  <c r="D73" i="1"/>
  <c r="C73" i="1"/>
  <c r="B73" i="1"/>
  <c r="O72" i="1"/>
  <c r="N72" i="1"/>
  <c r="M72" i="1"/>
  <c r="L72" i="1"/>
  <c r="K72" i="1"/>
  <c r="J72" i="1"/>
  <c r="W72" i="1" s="1"/>
  <c r="I72" i="1"/>
  <c r="H72" i="1"/>
  <c r="G72" i="1"/>
  <c r="V72" i="1" s="1"/>
  <c r="F72" i="1"/>
  <c r="E72" i="1"/>
  <c r="D72" i="1"/>
  <c r="U72" i="1" s="1"/>
  <c r="C72" i="1"/>
  <c r="B72" i="1"/>
  <c r="W71" i="1"/>
  <c r="O71" i="1"/>
  <c r="N71" i="1"/>
  <c r="M71" i="1"/>
  <c r="L71" i="1"/>
  <c r="K71" i="1"/>
  <c r="J71" i="1"/>
  <c r="I71" i="1"/>
  <c r="H71" i="1"/>
  <c r="G71" i="1"/>
  <c r="F71" i="1"/>
  <c r="V71" i="1" s="1"/>
  <c r="E71" i="1"/>
  <c r="D71" i="1"/>
  <c r="C71" i="1"/>
  <c r="U71" i="1" s="1"/>
  <c r="B71" i="1"/>
  <c r="V70" i="1"/>
  <c r="O70" i="1"/>
  <c r="N70" i="1"/>
  <c r="M70" i="1"/>
  <c r="L70" i="1"/>
  <c r="K70" i="1"/>
  <c r="J70" i="1"/>
  <c r="W70" i="1" s="1"/>
  <c r="I70" i="1"/>
  <c r="H70" i="1"/>
  <c r="G70" i="1"/>
  <c r="F70" i="1"/>
  <c r="E70" i="1"/>
  <c r="D70" i="1"/>
  <c r="C70" i="1"/>
  <c r="B70" i="1"/>
  <c r="U70" i="1" s="1"/>
  <c r="O63" i="1"/>
  <c r="N63" i="1"/>
  <c r="M63" i="1"/>
  <c r="W63" i="1" s="1"/>
  <c r="L63" i="1"/>
  <c r="K63" i="1"/>
  <c r="J63" i="1"/>
  <c r="I63" i="1"/>
  <c r="V63" i="1" s="1"/>
  <c r="H63" i="1"/>
  <c r="G63" i="1"/>
  <c r="F63" i="1"/>
  <c r="E63" i="1"/>
  <c r="U63" i="1" s="1"/>
  <c r="D63" i="1"/>
  <c r="C63" i="1"/>
  <c r="B63" i="1"/>
  <c r="Y62" i="1"/>
  <c r="X62" i="1"/>
  <c r="W62" i="1"/>
  <c r="V62" i="1"/>
  <c r="U62" i="1"/>
  <c r="S62" i="1"/>
  <c r="R62" i="1"/>
  <c r="Q62" i="1"/>
  <c r="P62" i="1"/>
  <c r="W61" i="1"/>
  <c r="V61" i="1"/>
  <c r="U61" i="1"/>
  <c r="S61" i="1"/>
  <c r="Y61" i="1" s="1"/>
  <c r="R61" i="1"/>
  <c r="Q61" i="1"/>
  <c r="P61" i="1"/>
  <c r="Y60" i="1"/>
  <c r="X60" i="1"/>
  <c r="W60" i="1"/>
  <c r="V60" i="1"/>
  <c r="U60" i="1"/>
  <c r="W59" i="1"/>
  <c r="V59" i="1"/>
  <c r="U59" i="1"/>
  <c r="W58" i="1"/>
  <c r="V58" i="1"/>
  <c r="U58" i="1"/>
  <c r="W57" i="1"/>
  <c r="V57" i="1"/>
  <c r="U57" i="1"/>
  <c r="W56" i="1"/>
  <c r="V56" i="1"/>
  <c r="U56" i="1"/>
  <c r="W55" i="1"/>
  <c r="O55" i="1"/>
  <c r="O64" i="1" s="1"/>
  <c r="N55" i="1"/>
  <c r="N64" i="1" s="1"/>
  <c r="M55" i="1"/>
  <c r="M64" i="1" s="1"/>
  <c r="W64" i="1" s="1"/>
  <c r="L55" i="1"/>
  <c r="L64" i="1" s="1"/>
  <c r="K55" i="1"/>
  <c r="K64" i="1" s="1"/>
  <c r="J55" i="1"/>
  <c r="J64" i="1" s="1"/>
  <c r="I55" i="1"/>
  <c r="H55" i="1"/>
  <c r="H64" i="1" s="1"/>
  <c r="G55" i="1"/>
  <c r="G64" i="1" s="1"/>
  <c r="F55" i="1"/>
  <c r="F64" i="1" s="1"/>
  <c r="E55" i="1"/>
  <c r="E64" i="1" s="1"/>
  <c r="U64" i="1" s="1"/>
  <c r="D55" i="1"/>
  <c r="D64" i="1" s="1"/>
  <c r="C55" i="1"/>
  <c r="C64" i="1" s="1"/>
  <c r="B55" i="1"/>
  <c r="B64" i="1" s="1"/>
  <c r="W54" i="1"/>
  <c r="V54" i="1"/>
  <c r="U54" i="1"/>
  <c r="P54" i="1"/>
  <c r="Q54" i="1" s="1"/>
  <c r="W53" i="1"/>
  <c r="V53" i="1"/>
  <c r="U53" i="1"/>
  <c r="P53" i="1"/>
  <c r="Q53" i="1" s="1"/>
  <c r="W52" i="1"/>
  <c r="V52" i="1"/>
  <c r="U52" i="1"/>
  <c r="P52" i="1"/>
  <c r="Q52" i="1" s="1"/>
  <c r="W51" i="1"/>
  <c r="V51" i="1"/>
  <c r="U51" i="1"/>
  <c r="Q51" i="1"/>
  <c r="X51" i="1" s="1"/>
  <c r="P51" i="1"/>
  <c r="Y50" i="1"/>
  <c r="X50" i="1"/>
  <c r="W50" i="1"/>
  <c r="V50" i="1"/>
  <c r="U50" i="1"/>
  <c r="W49" i="1"/>
  <c r="O49" i="1"/>
  <c r="O65" i="1" s="1"/>
  <c r="N49" i="1"/>
  <c r="N65" i="1" s="1"/>
  <c r="M49" i="1"/>
  <c r="L49" i="1"/>
  <c r="K49" i="1"/>
  <c r="J49" i="1"/>
  <c r="I49" i="1"/>
  <c r="H49" i="1"/>
  <c r="H65" i="1" s="1"/>
  <c r="G49" i="1"/>
  <c r="G65" i="1" s="1"/>
  <c r="F49" i="1"/>
  <c r="F65" i="1" s="1"/>
  <c r="E49" i="1"/>
  <c r="D49" i="1"/>
  <c r="C49" i="1"/>
  <c r="B49" i="1"/>
  <c r="W48" i="1"/>
  <c r="V48" i="1"/>
  <c r="U48" i="1"/>
  <c r="W47" i="1"/>
  <c r="V47" i="1"/>
  <c r="U47" i="1"/>
  <c r="W46" i="1"/>
  <c r="V46" i="1"/>
  <c r="U46" i="1"/>
  <c r="P46" i="1"/>
  <c r="Q46" i="1" s="1"/>
  <c r="W45" i="1"/>
  <c r="V45" i="1"/>
  <c r="U45" i="1"/>
  <c r="Q45" i="1"/>
  <c r="X45" i="1" s="1"/>
  <c r="P45" i="1"/>
  <c r="W44" i="1"/>
  <c r="V44" i="1"/>
  <c r="U44" i="1"/>
  <c r="R44" i="1"/>
  <c r="Q44" i="1"/>
  <c r="X44" i="1" s="1"/>
  <c r="P44" i="1"/>
  <c r="U43" i="1"/>
  <c r="O43" i="1"/>
  <c r="O66" i="1" s="1"/>
  <c r="M43" i="1"/>
  <c r="E43" i="1"/>
  <c r="W42" i="1"/>
  <c r="U42" i="1"/>
  <c r="O42" i="1"/>
  <c r="N42" i="1"/>
  <c r="M42" i="1"/>
  <c r="L42" i="1"/>
  <c r="L43" i="1" s="1"/>
  <c r="K42" i="1"/>
  <c r="K43" i="1" s="1"/>
  <c r="J42" i="1"/>
  <c r="I42" i="1"/>
  <c r="V42" i="1" s="1"/>
  <c r="H42" i="1"/>
  <c r="G42" i="1"/>
  <c r="F42" i="1"/>
  <c r="E42" i="1"/>
  <c r="D42" i="1"/>
  <c r="D43" i="1" s="1"/>
  <c r="C42" i="1"/>
  <c r="C43" i="1" s="1"/>
  <c r="B42" i="1"/>
  <c r="W41" i="1"/>
  <c r="V41" i="1"/>
  <c r="U41" i="1"/>
  <c r="W40" i="1"/>
  <c r="V40" i="1"/>
  <c r="U40" i="1"/>
  <c r="X39" i="1"/>
  <c r="W39" i="1"/>
  <c r="V39" i="1"/>
  <c r="U39" i="1"/>
  <c r="S39" i="1"/>
  <c r="R39" i="1"/>
  <c r="Q39" i="1"/>
  <c r="P39" i="1"/>
  <c r="W38" i="1"/>
  <c r="V38" i="1"/>
  <c r="U38" i="1"/>
  <c r="P38" i="1"/>
  <c r="Q38" i="1" s="1"/>
  <c r="W37" i="1"/>
  <c r="V37" i="1"/>
  <c r="U37" i="1"/>
  <c r="W36" i="1"/>
  <c r="V36" i="1"/>
  <c r="O36" i="1"/>
  <c r="N36" i="1"/>
  <c r="N43" i="1" s="1"/>
  <c r="M36" i="1"/>
  <c r="L36" i="1"/>
  <c r="K36" i="1"/>
  <c r="J36" i="1"/>
  <c r="I36" i="1"/>
  <c r="I43" i="1" s="1"/>
  <c r="H36" i="1"/>
  <c r="H43" i="1" s="1"/>
  <c r="G36" i="1"/>
  <c r="G43" i="1" s="1"/>
  <c r="G66" i="1" s="1"/>
  <c r="F36" i="1"/>
  <c r="F43" i="1" s="1"/>
  <c r="E36" i="1"/>
  <c r="U36" i="1" s="1"/>
  <c r="D36" i="1"/>
  <c r="C36" i="1"/>
  <c r="B36" i="1"/>
  <c r="W35" i="1"/>
  <c r="V35" i="1"/>
  <c r="U35" i="1"/>
  <c r="Q35" i="1"/>
  <c r="R35" i="1" s="1"/>
  <c r="S35" i="1" s="1"/>
  <c r="Y35" i="1" s="1"/>
  <c r="P35" i="1"/>
  <c r="Y34" i="1"/>
  <c r="W34" i="1"/>
  <c r="V34" i="1"/>
  <c r="U34" i="1"/>
  <c r="P34" i="1"/>
  <c r="Q34" i="1" s="1"/>
  <c r="R34" i="1" s="1"/>
  <c r="S34" i="1" s="1"/>
  <c r="W33" i="1"/>
  <c r="V33" i="1"/>
  <c r="U33" i="1"/>
  <c r="P33" i="1"/>
  <c r="Q33" i="1" s="1"/>
  <c r="R33" i="1" s="1"/>
  <c r="S33" i="1" s="1"/>
  <c r="Y33" i="1" s="1"/>
  <c r="W32" i="1"/>
  <c r="V32" i="1"/>
  <c r="U32" i="1"/>
  <c r="P32" i="1"/>
  <c r="Q32" i="1" s="1"/>
  <c r="W31" i="1"/>
  <c r="V31" i="1"/>
  <c r="U31" i="1"/>
  <c r="W30" i="1"/>
  <c r="V30" i="1"/>
  <c r="U30" i="1"/>
  <c r="R30" i="1"/>
  <c r="S30" i="1" s="1"/>
  <c r="Y30" i="1" s="1"/>
  <c r="Q30" i="1"/>
  <c r="X30" i="1" s="1"/>
  <c r="P30" i="1"/>
  <c r="W29" i="1"/>
  <c r="V29" i="1"/>
  <c r="U29" i="1"/>
  <c r="W28" i="1"/>
  <c r="V28" i="1"/>
  <c r="U28" i="1"/>
  <c r="P28" i="1"/>
  <c r="Q28" i="1" s="1"/>
  <c r="W24" i="1"/>
  <c r="V24" i="1"/>
  <c r="U24" i="1"/>
  <c r="M24" i="1"/>
  <c r="I24" i="1"/>
  <c r="W23" i="1"/>
  <c r="V23" i="1"/>
  <c r="U23" i="1"/>
  <c r="Q23" i="1"/>
  <c r="Q24" i="1" s="1"/>
  <c r="X24" i="1" s="1"/>
  <c r="P23" i="1"/>
  <c r="P24" i="1" s="1"/>
  <c r="M23" i="1"/>
  <c r="I23" i="1"/>
  <c r="E23" i="1"/>
  <c r="E24" i="1" s="1"/>
  <c r="W22" i="1"/>
  <c r="V22" i="1"/>
  <c r="U22" i="1"/>
  <c r="W21" i="1"/>
  <c r="V21" i="1"/>
  <c r="U21" i="1"/>
  <c r="F20" i="1"/>
  <c r="W19" i="1"/>
  <c r="V19" i="1"/>
  <c r="U19" i="1"/>
  <c r="M19" i="1"/>
  <c r="I19" i="1"/>
  <c r="E19" i="1"/>
  <c r="J18" i="1"/>
  <c r="J20" i="1" s="1"/>
  <c r="B18" i="1"/>
  <c r="B20" i="1" s="1"/>
  <c r="O17" i="1"/>
  <c r="N17" i="1"/>
  <c r="L17" i="1"/>
  <c r="K17" i="1"/>
  <c r="J17" i="1"/>
  <c r="H17" i="1"/>
  <c r="G17" i="1"/>
  <c r="F17" i="1"/>
  <c r="D17" i="1"/>
  <c r="C17" i="1"/>
  <c r="B17" i="1"/>
  <c r="W16" i="1"/>
  <c r="M16" i="1"/>
  <c r="I16" i="1"/>
  <c r="E16" i="1"/>
  <c r="V15" i="1"/>
  <c r="U15" i="1"/>
  <c r="P15" i="1"/>
  <c r="M15" i="1"/>
  <c r="W15" i="1" s="1"/>
  <c r="I15" i="1"/>
  <c r="E15" i="1"/>
  <c r="F14" i="1"/>
  <c r="J13" i="1"/>
  <c r="J14" i="1" s="1"/>
  <c r="D13" i="1"/>
  <c r="B13" i="1"/>
  <c r="B14" i="1" s="1"/>
  <c r="U12" i="1"/>
  <c r="O12" i="1"/>
  <c r="N12" i="1"/>
  <c r="L12" i="1"/>
  <c r="L13" i="1" s="1"/>
  <c r="K12" i="1"/>
  <c r="J12" i="1"/>
  <c r="H12" i="1"/>
  <c r="G12" i="1"/>
  <c r="F12" i="1"/>
  <c r="E12" i="1"/>
  <c r="D12" i="1"/>
  <c r="C12" i="1"/>
  <c r="B12" i="1"/>
  <c r="W11" i="1"/>
  <c r="V11" i="1"/>
  <c r="U11" i="1"/>
  <c r="S11" i="1"/>
  <c r="M11" i="1"/>
  <c r="I11" i="1"/>
  <c r="E11" i="1"/>
  <c r="U10" i="1"/>
  <c r="M10" i="1"/>
  <c r="M12" i="1" s="1"/>
  <c r="M13" i="1" s="1"/>
  <c r="I10" i="1"/>
  <c r="E10" i="1"/>
  <c r="W9" i="1"/>
  <c r="V9" i="1"/>
  <c r="U9" i="1"/>
  <c r="S9" i="1"/>
  <c r="M9" i="1"/>
  <c r="I9" i="1"/>
  <c r="E9" i="1"/>
  <c r="O8" i="1"/>
  <c r="N8" i="1"/>
  <c r="L8" i="1"/>
  <c r="J8" i="1"/>
  <c r="H8" i="1"/>
  <c r="D8" i="1"/>
  <c r="B8" i="1"/>
  <c r="W7" i="1"/>
  <c r="W8" i="1" s="1"/>
  <c r="S7" i="1"/>
  <c r="S8" i="1" s="1"/>
  <c r="O7" i="1"/>
  <c r="O13" i="1" s="1"/>
  <c r="N7" i="1"/>
  <c r="M7" i="1"/>
  <c r="M8" i="1" s="1"/>
  <c r="L7" i="1"/>
  <c r="K7" i="1"/>
  <c r="K8" i="1" s="1"/>
  <c r="J7" i="1"/>
  <c r="H7" i="1"/>
  <c r="H13" i="1" s="1"/>
  <c r="G7" i="1"/>
  <c r="G13" i="1" s="1"/>
  <c r="F7" i="1"/>
  <c r="F13" i="1" s="1"/>
  <c r="F18" i="1" s="1"/>
  <c r="D7" i="1"/>
  <c r="C7" i="1"/>
  <c r="C8" i="1" s="1"/>
  <c r="B7" i="1"/>
  <c r="W6" i="1"/>
  <c r="V6" i="1"/>
  <c r="U6" i="1"/>
  <c r="M6" i="1"/>
  <c r="I6" i="1"/>
  <c r="E6" i="1"/>
  <c r="E7" i="1" s="1"/>
  <c r="W5" i="1"/>
  <c r="U5" i="1"/>
  <c r="S5" i="1"/>
  <c r="S6" i="1" s="1"/>
  <c r="S56" i="1" s="1"/>
  <c r="R5" i="1"/>
  <c r="Q5" i="1"/>
  <c r="P5" i="1"/>
  <c r="P58" i="1" s="1"/>
  <c r="P82" i="1" s="1"/>
  <c r="M5" i="1"/>
  <c r="I5" i="1"/>
  <c r="V5" i="1" s="1"/>
  <c r="E5" i="1"/>
  <c r="M14" i="1" l="1"/>
  <c r="L14" i="1"/>
  <c r="L18" i="1"/>
  <c r="L20" i="1" s="1"/>
  <c r="E8" i="1"/>
  <c r="E13" i="1"/>
  <c r="R102" i="1"/>
  <c r="R90" i="1"/>
  <c r="R96" i="1" s="1"/>
  <c r="R71" i="1"/>
  <c r="R72" i="1"/>
  <c r="R59" i="1"/>
  <c r="R58" i="1"/>
  <c r="R37" i="1"/>
  <c r="R99" i="1"/>
  <c r="R103" i="1" s="1"/>
  <c r="R75" i="1"/>
  <c r="R16" i="1"/>
  <c r="R7" i="1"/>
  <c r="R10" i="1"/>
  <c r="R41" i="1"/>
  <c r="R6" i="1"/>
  <c r="R56" i="1" s="1"/>
  <c r="V17" i="1"/>
  <c r="H14" i="1"/>
  <c r="H18" i="1"/>
  <c r="H20" i="1" s="1"/>
  <c r="I17" i="1"/>
  <c r="V16" i="1"/>
  <c r="X102" i="1"/>
  <c r="Q83" i="1"/>
  <c r="X83" i="1" s="1"/>
  <c r="X61" i="1"/>
  <c r="Q99" i="1"/>
  <c r="Q103" i="1" s="1"/>
  <c r="X103" i="1" s="1"/>
  <c r="Q75" i="1"/>
  <c r="Q102" i="1"/>
  <c r="Q90" i="1"/>
  <c r="Q96" i="1" s="1"/>
  <c r="Q71" i="1"/>
  <c r="Q72" i="1"/>
  <c r="Q59" i="1"/>
  <c r="X59" i="1" s="1"/>
  <c r="Q58" i="1"/>
  <c r="Q37" i="1"/>
  <c r="Q10" i="1"/>
  <c r="Q41" i="1"/>
  <c r="X41" i="1" s="1"/>
  <c r="Q16" i="1"/>
  <c r="Q7" i="1"/>
  <c r="Q6" i="1" s="1"/>
  <c r="Q56" i="1" s="1"/>
  <c r="Q11" i="1"/>
  <c r="Q9" i="1"/>
  <c r="Q12" i="1" s="1"/>
  <c r="O18" i="1"/>
  <c r="O20" i="1" s="1"/>
  <c r="O14" i="1"/>
  <c r="V10" i="1"/>
  <c r="I12" i="1"/>
  <c r="V12" i="1" s="1"/>
  <c r="R11" i="1"/>
  <c r="C66" i="1"/>
  <c r="K66" i="1"/>
  <c r="W43" i="1"/>
  <c r="X46" i="1"/>
  <c r="R46" i="1"/>
  <c r="S46" i="1" s="1"/>
  <c r="Y46" i="1" s="1"/>
  <c r="X52" i="1"/>
  <c r="R52" i="1"/>
  <c r="S52" i="1" s="1"/>
  <c r="Y52" i="1" s="1"/>
  <c r="G18" i="1"/>
  <c r="G20" i="1" s="1"/>
  <c r="G14" i="1"/>
  <c r="R9" i="1"/>
  <c r="R83" i="1"/>
  <c r="W12" i="1"/>
  <c r="X33" i="1"/>
  <c r="X38" i="1"/>
  <c r="R38" i="1"/>
  <c r="S38" i="1" s="1"/>
  <c r="Y38" i="1" s="1"/>
  <c r="R53" i="1"/>
  <c r="S53" i="1" s="1"/>
  <c r="Y53" i="1" s="1"/>
  <c r="X53" i="1"/>
  <c r="Y56" i="1"/>
  <c r="R54" i="1"/>
  <c r="S54" i="1" s="1"/>
  <c r="Y54" i="1" s="1"/>
  <c r="X54" i="1"/>
  <c r="D18" i="1"/>
  <c r="D20" i="1" s="1"/>
  <c r="D14" i="1"/>
  <c r="X32" i="1"/>
  <c r="R32" i="1"/>
  <c r="S32" i="1" s="1"/>
  <c r="Y32" i="1" s="1"/>
  <c r="B24" i="6"/>
  <c r="Y39" i="1"/>
  <c r="V49" i="1"/>
  <c r="F8" i="1"/>
  <c r="S44" i="1"/>
  <c r="E17" i="1"/>
  <c r="U17" i="1" s="1"/>
  <c r="U16" i="1"/>
  <c r="W10" i="1"/>
  <c r="X90" i="1"/>
  <c r="Y5" i="1"/>
  <c r="B12" i="6" s="1"/>
  <c r="P37" i="1"/>
  <c r="P99" i="1"/>
  <c r="P75" i="1"/>
  <c r="P102" i="1"/>
  <c r="P90" i="1"/>
  <c r="P41" i="1"/>
  <c r="P71" i="1"/>
  <c r="X71" i="1" s="1"/>
  <c r="P72" i="1"/>
  <c r="P59" i="1"/>
  <c r="P7" i="1"/>
  <c r="P6" i="1"/>
  <c r="P16" i="1"/>
  <c r="X5" i="1"/>
  <c r="X7" i="1"/>
  <c r="X8" i="1" s="1"/>
  <c r="N13" i="1"/>
  <c r="G8" i="1"/>
  <c r="M17" i="1"/>
  <c r="W17" i="1" s="1"/>
  <c r="X35" i="1"/>
  <c r="P55" i="1"/>
  <c r="U7" i="1"/>
  <c r="U8" i="1" s="1"/>
  <c r="C13" i="1"/>
  <c r="K13" i="1"/>
  <c r="P76" i="1"/>
  <c r="P85" i="1"/>
  <c r="R23" i="1"/>
  <c r="X34" i="1"/>
  <c r="B43" i="1"/>
  <c r="J43" i="1"/>
  <c r="R45" i="1"/>
  <c r="S45" i="1" s="1"/>
  <c r="Y45" i="1" s="1"/>
  <c r="I64" i="1"/>
  <c r="V64" i="1" s="1"/>
  <c r="V55" i="1"/>
  <c r="Q55" i="1"/>
  <c r="P83" i="1"/>
  <c r="X75" i="1"/>
  <c r="P103" i="1"/>
  <c r="B12" i="7"/>
  <c r="B13" i="7" s="1"/>
  <c r="B16" i="7" s="1"/>
  <c r="J65" i="1"/>
  <c r="S102" i="1"/>
  <c r="S90" i="1"/>
  <c r="S96" i="1" s="1"/>
  <c r="S71" i="1"/>
  <c r="S72" i="1"/>
  <c r="S58" i="1"/>
  <c r="S37" i="1"/>
  <c r="S99" i="1"/>
  <c r="S103" i="1" s="1"/>
  <c r="S75" i="1"/>
  <c r="S16" i="1"/>
  <c r="N66" i="1"/>
  <c r="K65" i="1"/>
  <c r="X28" i="1"/>
  <c r="R28" i="1"/>
  <c r="S41" i="1"/>
  <c r="Y41" i="1" s="1"/>
  <c r="V43" i="1"/>
  <c r="D65" i="1"/>
  <c r="D66" i="1" s="1"/>
  <c r="L65" i="1"/>
  <c r="L66" i="1" s="1"/>
  <c r="X99" i="1"/>
  <c r="B65" i="1"/>
  <c r="F66" i="1"/>
  <c r="C65" i="1"/>
  <c r="I7" i="1"/>
  <c r="V7" i="1" s="1"/>
  <c r="V8" i="1" s="1"/>
  <c r="S10" i="1"/>
  <c r="S12" i="1" s="1"/>
  <c r="S13" i="1" s="1"/>
  <c r="H66" i="1"/>
  <c r="E65" i="1"/>
  <c r="U65" i="1" s="1"/>
  <c r="M65" i="1"/>
  <c r="W65" i="1" s="1"/>
  <c r="R51" i="1"/>
  <c r="S59" i="1"/>
  <c r="Y59" i="1" s="1"/>
  <c r="Y97" i="1"/>
  <c r="B11" i="7"/>
  <c r="U49" i="1"/>
  <c r="U55" i="1"/>
  <c r="X23" i="1"/>
  <c r="I15" i="5"/>
  <c r="S83" i="1"/>
  <c r="X56" i="1" l="1"/>
  <c r="B18" i="7"/>
  <c r="B17" i="7"/>
  <c r="S14" i="1"/>
  <c r="X58" i="1"/>
  <c r="Q82" i="1"/>
  <c r="R80" i="1"/>
  <c r="R81" i="1"/>
  <c r="Y44" i="1"/>
  <c r="Y83" i="1"/>
  <c r="R24" i="1"/>
  <c r="S23" i="1"/>
  <c r="P80" i="1"/>
  <c r="R12" i="1"/>
  <c r="E18" i="1"/>
  <c r="E20" i="1" s="1"/>
  <c r="E14" i="1"/>
  <c r="P31" i="1"/>
  <c r="Q31" i="1" s="1"/>
  <c r="Y72" i="1"/>
  <c r="I13" i="1"/>
  <c r="I8" i="1"/>
  <c r="Q13" i="1"/>
  <c r="Q8" i="1"/>
  <c r="Y103" i="1"/>
  <c r="J66" i="1"/>
  <c r="K14" i="1"/>
  <c r="W13" i="1"/>
  <c r="W14" i="1" s="1"/>
  <c r="K18" i="1"/>
  <c r="P77" i="1"/>
  <c r="P84" i="1"/>
  <c r="Y16" i="1"/>
  <c r="X16" i="1"/>
  <c r="P17" i="1"/>
  <c r="Y102" i="1"/>
  <c r="R8" i="1"/>
  <c r="R13" i="1"/>
  <c r="X55" i="1"/>
  <c r="Y71" i="1"/>
  <c r="P29" i="1"/>
  <c r="Y90" i="1"/>
  <c r="P96" i="1"/>
  <c r="Q77" i="1"/>
  <c r="Q84" i="1"/>
  <c r="S77" i="1"/>
  <c r="S84" i="1"/>
  <c r="B66" i="1"/>
  <c r="C14" i="1"/>
  <c r="C18" i="1"/>
  <c r="U13" i="1"/>
  <c r="U14" i="1" s="1"/>
  <c r="Y6" i="1"/>
  <c r="P56" i="1"/>
  <c r="X6" i="1"/>
  <c r="Y75" i="1"/>
  <c r="R77" i="1"/>
  <c r="R84" i="1"/>
  <c r="M18" i="1"/>
  <c r="M20" i="1" s="1"/>
  <c r="S28" i="1"/>
  <c r="Y37" i="1"/>
  <c r="S80" i="1"/>
  <c r="S82" i="1"/>
  <c r="Y58" i="1"/>
  <c r="N18" i="1"/>
  <c r="N14" i="1"/>
  <c r="R82" i="1"/>
  <c r="R55" i="1"/>
  <c r="S51" i="1"/>
  <c r="S81" i="1"/>
  <c r="E66" i="1"/>
  <c r="U66" i="1" s="1"/>
  <c r="P10" i="1"/>
  <c r="Y7" i="1"/>
  <c r="Y8" i="1" s="1"/>
  <c r="P11" i="1"/>
  <c r="P9" i="1"/>
  <c r="P8" i="1"/>
  <c r="Y99" i="1"/>
  <c r="I65" i="1"/>
  <c r="X72" i="1"/>
  <c r="M66" i="1"/>
  <c r="W66" i="1" s="1"/>
  <c r="Q80" i="1"/>
  <c r="X37" i="1"/>
  <c r="M21" i="1" l="1"/>
  <c r="M22" i="1"/>
  <c r="R14" i="1"/>
  <c r="K20" i="1"/>
  <c r="W20" i="1" s="1"/>
  <c r="W18" i="1"/>
  <c r="I14" i="1"/>
  <c r="I18" i="1"/>
  <c r="V13" i="1"/>
  <c r="V14" i="1" s="1"/>
  <c r="Y10" i="1"/>
  <c r="X10" i="1"/>
  <c r="Y28" i="1"/>
  <c r="Y96" i="1"/>
  <c r="X96" i="1"/>
  <c r="N20" i="1"/>
  <c r="C20" i="1"/>
  <c r="U20" i="1" s="1"/>
  <c r="U18" i="1"/>
  <c r="X31" i="1"/>
  <c r="R31" i="1"/>
  <c r="S31" i="1" s="1"/>
  <c r="Y31" i="1" s="1"/>
  <c r="Y80" i="1"/>
  <c r="X80" i="1"/>
  <c r="B14" i="6"/>
  <c r="E21" i="1"/>
  <c r="E22" i="1"/>
  <c r="S24" i="1"/>
  <c r="B27" i="6" s="1"/>
  <c r="Y23" i="1"/>
  <c r="Q14" i="1"/>
  <c r="Y82" i="1"/>
  <c r="X82" i="1"/>
  <c r="V65" i="1"/>
  <c r="I66" i="1"/>
  <c r="V66" i="1" s="1"/>
  <c r="Q29" i="1"/>
  <c r="P36" i="1"/>
  <c r="Y51" i="1"/>
  <c r="S55" i="1"/>
  <c r="P12" i="1"/>
  <c r="X9" i="1"/>
  <c r="Y9" i="1"/>
  <c r="Y84" i="1"/>
  <c r="X84" i="1"/>
  <c r="X11" i="1"/>
  <c r="Y11" i="1"/>
  <c r="P81" i="1"/>
  <c r="Y77" i="1"/>
  <c r="X77" i="1"/>
  <c r="Q81" i="1"/>
  <c r="I20" i="1" l="1"/>
  <c r="V18" i="1"/>
  <c r="Y81" i="1"/>
  <c r="X81" i="1"/>
  <c r="R29" i="1"/>
  <c r="X29" i="1"/>
  <c r="Q36" i="1"/>
  <c r="Y24" i="1"/>
  <c r="Y12" i="1"/>
  <c r="X12" i="1"/>
  <c r="P13" i="1"/>
  <c r="Y55" i="1"/>
  <c r="P18" i="1" l="1"/>
  <c r="Y13" i="1"/>
  <c r="P14" i="1"/>
  <c r="X13" i="1"/>
  <c r="X14" i="1" s="1"/>
  <c r="S29" i="1"/>
  <c r="R36" i="1"/>
  <c r="I21" i="1"/>
  <c r="I22" i="1"/>
  <c r="V20" i="1"/>
  <c r="X36" i="1"/>
  <c r="Y29" i="1" l="1"/>
  <c r="S36" i="1"/>
  <c r="B13" i="6"/>
  <c r="B15" i="6" s="1"/>
  <c r="Y14" i="1"/>
  <c r="P19" i="1"/>
  <c r="P86" i="1" l="1"/>
  <c r="P57" i="1"/>
  <c r="P78" i="1"/>
  <c r="P20" i="1"/>
  <c r="B20" i="6"/>
  <c r="B16" i="6"/>
  <c r="Y36" i="1"/>
  <c r="P22" i="1" l="1"/>
  <c r="P70" i="1"/>
  <c r="P21" i="1"/>
  <c r="P48" i="1"/>
  <c r="P63" i="1"/>
  <c r="P64" i="1" s="1"/>
  <c r="B22" i="6"/>
  <c r="P87" i="1" l="1"/>
  <c r="P104" i="1" l="1"/>
  <c r="P107" i="1" l="1"/>
  <c r="P40" i="1" l="1"/>
  <c r="Q105" i="1"/>
  <c r="Q15" i="1" l="1"/>
  <c r="P42" i="1"/>
  <c r="P43" i="1" s="1"/>
  <c r="P47" i="1" l="1"/>
  <c r="P49" i="1" s="1"/>
  <c r="P65" i="1" s="1"/>
  <c r="P66" i="1" s="1"/>
  <c r="Q76" i="1"/>
  <c r="Q85" i="1"/>
  <c r="X15" i="1"/>
  <c r="Q17" i="1"/>
  <c r="X17" i="1" l="1"/>
  <c r="Q18" i="1"/>
  <c r="X85" i="1"/>
  <c r="X76" i="1"/>
  <c r="Q19" i="1" l="1"/>
  <c r="Q20" i="1" s="1"/>
  <c r="X18" i="1"/>
  <c r="Q70" i="1" l="1"/>
  <c r="Q22" i="1"/>
  <c r="Q21" i="1"/>
  <c r="X20" i="1"/>
  <c r="Q48" i="1"/>
  <c r="Q78" i="1"/>
  <c r="Q86" i="1"/>
  <c r="X19" i="1"/>
  <c r="X86" i="1" l="1"/>
  <c r="X48" i="1"/>
  <c r="X78" i="1"/>
  <c r="X21" i="1"/>
  <c r="X22" i="1"/>
  <c r="Q57" i="1"/>
  <c r="Q87" i="1"/>
  <c r="X70" i="1"/>
  <c r="Q104" i="1" l="1"/>
  <c r="X87" i="1"/>
  <c r="X57" i="1"/>
  <c r="Q63" i="1"/>
  <c r="X63" i="1" l="1"/>
  <c r="Q64" i="1"/>
  <c r="X64" i="1" s="1"/>
  <c r="X104" i="1"/>
  <c r="Q107" i="1"/>
  <c r="X107" i="1" l="1"/>
  <c r="Q40" i="1"/>
  <c r="R105" i="1"/>
  <c r="X40" i="1" l="1"/>
  <c r="R15" i="1"/>
  <c r="Q42" i="1"/>
  <c r="X42" i="1" l="1"/>
  <c r="Q43" i="1"/>
  <c r="R76" i="1"/>
  <c r="R85" i="1"/>
  <c r="R17" i="1"/>
  <c r="R18" i="1" l="1"/>
  <c r="X43" i="1"/>
  <c r="Q47" i="1"/>
  <c r="X47" i="1" l="1"/>
  <c r="Q49" i="1"/>
  <c r="R19" i="1"/>
  <c r="R78" i="1" l="1"/>
  <c r="R86" i="1"/>
  <c r="R57" i="1"/>
  <c r="R20" i="1"/>
  <c r="Q65" i="1"/>
  <c r="X49" i="1"/>
  <c r="R70" i="1" l="1"/>
  <c r="R22" i="1"/>
  <c r="R21" i="1"/>
  <c r="R48" i="1"/>
  <c r="X65" i="1"/>
  <c r="Q66" i="1"/>
  <c r="X66" i="1" s="1"/>
  <c r="R63" i="1"/>
  <c r="R64" i="1" s="1"/>
  <c r="R87" i="1" l="1"/>
  <c r="R104" i="1" l="1"/>
  <c r="R107" i="1" l="1"/>
  <c r="S105" i="1" l="1"/>
  <c r="R40" i="1"/>
  <c r="S15" i="1" l="1"/>
  <c r="R42" i="1"/>
  <c r="R43" i="1" s="1"/>
  <c r="R47" i="1" l="1"/>
  <c r="R49" i="1" s="1"/>
  <c r="R65" i="1" s="1"/>
  <c r="R66" i="1"/>
  <c r="S85" i="1"/>
  <c r="Y85" i="1" s="1"/>
  <c r="S76" i="1"/>
  <c r="Y76" i="1" s="1"/>
  <c r="S17" i="1"/>
  <c r="Y15" i="1"/>
  <c r="S18" i="1" l="1"/>
  <c r="Y17" i="1"/>
  <c r="S19" i="1" l="1"/>
  <c r="Y18" i="1"/>
  <c r="S78" i="1" l="1"/>
  <c r="Y78" i="1" s="1"/>
  <c r="S86" i="1"/>
  <c r="Y86" i="1" s="1"/>
  <c r="Y19" i="1"/>
  <c r="S57" i="1"/>
  <c r="S20" i="1"/>
  <c r="S70" i="1" l="1"/>
  <c r="S22" i="1"/>
  <c r="S21" i="1"/>
  <c r="Y20" i="1"/>
  <c r="S48" i="1"/>
  <c r="Y48" i="1" s="1"/>
  <c r="Y57" i="1"/>
  <c r="S63" i="1"/>
  <c r="Y63" i="1" l="1"/>
  <c r="S64" i="1"/>
  <c r="Y64" i="1" s="1"/>
  <c r="Y22" i="1"/>
  <c r="Y21" i="1"/>
  <c r="S87" i="1"/>
  <c r="Y70" i="1"/>
  <c r="S104" i="1" l="1"/>
  <c r="Y87" i="1"/>
  <c r="Y104" i="1" l="1"/>
  <c r="S107" i="1"/>
  <c r="Y107" i="1" l="1"/>
  <c r="S40" i="1"/>
  <c r="B23" i="6" l="1"/>
  <c r="Y40" i="1"/>
  <c r="S42" i="1"/>
  <c r="Y42" i="1" l="1"/>
  <c r="S43" i="1"/>
  <c r="J5" i="6"/>
  <c r="J6" i="6" s="1"/>
  <c r="E5" i="6"/>
  <c r="E6" i="6" s="1"/>
  <c r="H5" i="6"/>
  <c r="H6" i="6" s="1"/>
  <c r="G5" i="6"/>
  <c r="G6" i="6" s="1"/>
  <c r="F5" i="6"/>
  <c r="F6" i="6" s="1"/>
  <c r="I5" i="6"/>
  <c r="I6" i="6" s="1"/>
  <c r="B26" i="6"/>
  <c r="B28" i="6" s="1"/>
  <c r="B30" i="6" s="1"/>
  <c r="B31" i="6" s="1"/>
  <c r="Y43" i="1" l="1"/>
  <c r="S47" i="1"/>
  <c r="Y47" i="1" l="1"/>
  <c r="S49" i="1"/>
  <c r="S65" i="1" l="1"/>
  <c r="Y49" i="1"/>
  <c r="Y65" i="1" l="1"/>
  <c r="S66" i="1"/>
  <c r="Y66" i="1" s="1"/>
</calcChain>
</file>

<file path=xl/sharedStrings.xml><?xml version="1.0" encoding="utf-8"?>
<sst xmlns="http://schemas.openxmlformats.org/spreadsheetml/2006/main" count="361" uniqueCount="293">
  <si>
    <t>SPOT Quarterly Three-Statement Model (€m, except per-share data and shares)</t>
  </si>
  <si>
    <t>Period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</si>
  <si>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</si>
  <si>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</si>
  <si>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</si>
  <si>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</si>
  <si>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</si>
  <si>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</si>
  <si>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</si>
  <si>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</si>
  <si>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</si>
  <si>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</si>
  <si>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</si>
  <si>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</si>
  <si>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>Q1-2026</t>
  </si>
  <si>
    <t>Q2-2026</t>
  </si>
  <si>
    <t>Q3-2026E</t>
  </si>
  <si>
    <t>Q4-2026E</t>
  </si>
  <si>
    <t>Q1-2027E</t>
  </si>
  <si>
    <t>Q2-2027E</t>
  </si>
  <si>
    <t>FY2023</t>
  </si>
  <si>
    <t>FY2024</t>
  </si>
  <si>
    <t>FY2025</t>
  </si>
  <si>
    <t>FY2026E</t>
  </si>
  <si>
    <t>NTM Q2-27</t>
  </si>
  <si>
    <t>Income Statement</t>
  </si>
  <si>
    <t>Revenue</t>
  </si>
  <si>
    <t>Cost of revenue</t>
  </si>
  <si>
    <t>Gross profit</t>
  </si>
  <si>
    <t>Gross margin</t>
  </si>
  <si>
    <t>Research and development</t>
  </si>
  <si>
    <t>Sales and marketing</t>
  </si>
  <si>
    <t>General and administrative</t>
  </si>
  <si>
    <t>Total operating expenses</t>
  </si>
  <si>
    <t>Operating income/(loss)</t>
  </si>
  <si>
    <t>Operating margin</t>
  </si>
  <si>
    <t>Finance income</t>
  </si>
  <si>
    <t>Finance costs</t>
  </si>
  <si>
    <t>Finance income/(costs) - net</t>
  </si>
  <si>
    <t>Income/(loss) before tax</t>
  </si>
  <si>
    <t>Income tax expense/(benefit)</t>
  </si>
  <si>
    <t>Net income/(loss)</t>
  </si>
  <si>
    <t>Basic EPS</t>
  </si>
  <si>
    <t>Diluted EPS</t>
  </si>
  <si>
    <t>Weighted-average basic shares</t>
  </si>
  <si>
    <t>Weighted-average diluted shares</t>
  </si>
  <si>
    <t>Balance Sheet</t>
  </si>
  <si>
    <t>Lease right-of-use assets</t>
  </si>
  <si>
    <t>Property &amp; equipment</t>
  </si>
  <si>
    <t>Goodwill</t>
  </si>
  <si>
    <t>Intangible assets</t>
  </si>
  <si>
    <t>Long-term investments</t>
  </si>
  <si>
    <t>Restricted cash &amp; other non-current assets</t>
  </si>
  <si>
    <t>Finance lease receivables</t>
  </si>
  <si>
    <t>Deferred tax assets</t>
  </si>
  <si>
    <t>Total non-current assets</t>
  </si>
  <si>
    <t>Trade &amp; other receivables</t>
  </si>
  <si>
    <t>Income tax receivable</t>
  </si>
  <si>
    <t>Short-term investments</t>
  </si>
  <si>
    <t>Cash &amp; cash equivalents</t>
  </si>
  <si>
    <t>Other current assets</t>
  </si>
  <si>
    <t>Total current assets</t>
  </si>
  <si>
    <t>Total assets</t>
  </si>
  <si>
    <t>Share capital</t>
  </si>
  <si>
    <t>Other paid-in capital</t>
  </si>
  <si>
    <t>Treasury shares</t>
  </si>
  <si>
    <t>Other reserves</t>
  </si>
  <si>
    <t>Accumulated deficit / retained earnings</t>
  </si>
  <si>
    <t>Total equity</t>
  </si>
  <si>
    <t>Non-current exchangeable notes</t>
  </si>
  <si>
    <t>Non-current lease liabilities</t>
  </si>
  <si>
    <t>Non-current accrued &amp; other liabilities</t>
  </si>
  <si>
    <t>Non-current provisions</t>
  </si>
  <si>
    <t>Deferred tax liabilities</t>
  </si>
  <si>
    <t>Total non-current liabilities</t>
  </si>
  <si>
    <t>Trade &amp; other payables</t>
  </si>
  <si>
    <t>Income tax payable</t>
  </si>
  <si>
    <t>Deferred revenue</t>
  </si>
  <si>
    <t>Current accrued &amp; other liabilities</t>
  </si>
  <si>
    <t>Current exchangeable notes</t>
  </si>
  <si>
    <t>Current provisions</t>
  </si>
  <si>
    <t>Derivative liabilities</t>
  </si>
  <si>
    <t>Total current liabilities</t>
  </si>
  <si>
    <t>Total liabilities</t>
  </si>
  <si>
    <t>Total equity &amp; liabilities</t>
  </si>
  <si>
    <t>Balance sheet check</t>
  </si>
  <si>
    <t>Cash Flow Statement</t>
  </si>
  <si>
    <t>Depreciation - PP&amp;E and ROU assets</t>
  </si>
  <si>
    <t>Amortization of intangible assets</t>
  </si>
  <si>
    <t>Impairment of real estate assets</t>
  </si>
  <si>
    <t>Write-off of content assets</t>
  </si>
  <si>
    <t>Share-based compensation expense</t>
  </si>
  <si>
    <t>Other non-cash items</t>
  </si>
  <si>
    <t>Change in trade receivables &amp; other assets</t>
  </si>
  <si>
    <t>Change in trade &amp; other liabilities</t>
  </si>
  <si>
    <t>Change in deferred revenue</t>
  </si>
  <si>
    <t>Change in provisions</t>
  </si>
  <si>
    <t>Interest paid</t>
  </si>
  <si>
    <t>Interest received</t>
  </si>
  <si>
    <t>Income taxes paid</t>
  </si>
  <si>
    <t>Net cash flows from operating activities</t>
  </si>
  <si>
    <t>Business combinations</t>
  </si>
  <si>
    <t>Deferred consideration</t>
  </si>
  <si>
    <t>Purchases of property &amp; equipment</t>
  </si>
  <si>
    <t>Purchases of short-term investments</t>
  </si>
  <si>
    <t>Sales &amp; maturities of short-term investments</t>
  </si>
  <si>
    <t>Change in restricted cash</t>
  </si>
  <si>
    <t>Dividends received</t>
  </si>
  <si>
    <t>Other investing activities</t>
  </si>
  <si>
    <t>Net cash flows from/(used in) investing activities</t>
  </si>
  <si>
    <t>Proceeds from exercise of share options</t>
  </si>
  <si>
    <t>Repurchases of ordinary shares</t>
  </si>
  <si>
    <t>Lease payments</t>
  </si>
  <si>
    <t>Lease incentives received</t>
  </si>
  <si>
    <t>Repayment of exchangeable notes</t>
  </si>
  <si>
    <t>Employee tax withholding on equity awards</t>
  </si>
  <si>
    <t>Net cash flows from/(used in) financing activities</t>
  </si>
  <si>
    <t>Net increase/(decrease) in cash</t>
  </si>
  <si>
    <t>Cash &amp; cash equivalents at beginning of period</t>
  </si>
  <si>
    <t>Effect of FX on cash</t>
  </si>
  <si>
    <t>Cash &amp; cash equivalents at end of period</t>
  </si>
  <si>
    <t>Supplemental: ROU assets recognized</t>
  </si>
  <si>
    <t>Spotify Trading Comps &amp; Multiple Reclassification</t>
  </si>
  <si>
    <t>Valuation Date</t>
  </si>
  <si>
    <t>Current SPOT Price ($)</t>
  </si>
  <si>
    <t>EUR / USD</t>
  </si>
  <si>
    <t>Current SPOT 2027E EV / EBITDA</t>
  </si>
  <si>
    <t>2026-10-02</t>
  </si>
  <si>
    <t>Company</t>
  </si>
  <si>
    <t>Ticker</t>
  </si>
  <si>
    <t>Business model</t>
  </si>
  <si>
    <t>Currency</t>
  </si>
  <si>
    <t>2025A Revenue</t>
  </si>
  <si>
    <t>2026E Revenue</t>
  </si>
  <si>
    <t>2027E Revenue</t>
  </si>
  <si>
    <t>2026E Rev Growth</t>
  </si>
  <si>
    <t>2027E Rev Growth</t>
  </si>
  <si>
    <t>2026E EBITDA</t>
  </si>
  <si>
    <t>2027E EBITDA</t>
  </si>
  <si>
    <t>2026E EBITDA Margin</t>
  </si>
  <si>
    <t>2027E EBITDA Margin</t>
  </si>
  <si>
    <t>2026E EV / Revenue</t>
  </si>
  <si>
    <t>2027E EV / Revenue</t>
  </si>
  <si>
    <t>2026E EV / EBITDA</t>
  </si>
  <si>
    <t>2027E EV / EBITDA</t>
  </si>
  <si>
    <t>2027E P/E</t>
  </si>
  <si>
    <t>Spotify Technology</t>
  </si>
  <si>
    <t>SPOT</t>
  </si>
  <si>
    <t>Global audio streaming platform</t>
  </si>
  <si>
    <t>EUR</t>
  </si>
  <si>
    <t>Netflix</t>
  </si>
  <si>
    <t>NFLX</t>
  </si>
  <si>
    <t>Global subscription video streaming</t>
  </si>
  <si>
    <t>USD</t>
  </si>
  <si>
    <t>Warner Music Group</t>
  </si>
  <si>
    <t>WMG</t>
  </si>
  <si>
    <t>Recorded music / publishing rights owner</t>
  </si>
  <si>
    <t>Universal Music Group</t>
  </si>
  <si>
    <t>UMG</t>
  </si>
  <si>
    <t>Tencent Music</t>
  </si>
  <si>
    <t>TME</t>
  </si>
  <si>
    <t>China music streaming / social entertainment</t>
  </si>
  <si>
    <t>RMB</t>
  </si>
  <si>
    <t>Sirius XM</t>
  </si>
  <si>
    <t>SIRI</t>
  </si>
  <si>
    <t>Subscription audio / satellite radio</t>
  </si>
  <si>
    <t>Median (ex-SPOT)</t>
  </si>
  <si>
    <t>Average (ex-SPOT)</t>
  </si>
  <si>
    <t>Target Multiple Framework</t>
  </si>
  <si>
    <t>Metric</t>
  </si>
  <si>
    <t>Value</t>
  </si>
  <si>
    <t>SPOT current 2027E EV / EBITDA</t>
  </si>
  <si>
    <t>2027E ex-SPOT comp median</t>
  </si>
  <si>
    <t>2027E music-rights median (WMG / UMG)</t>
  </si>
  <si>
    <t>2027E Netflix EV / EBITDA</t>
  </si>
  <si>
    <t>Selected terminal EV / EBITDA</t>
  </si>
  <si>
    <t>Premium / (discount) to ex-SPOT median</t>
  </si>
  <si>
    <t>Spotify Valuation &amp; Cap Table</t>
  </si>
  <si>
    <t>Key Inputs</t>
  </si>
  <si>
    <t>Terminal Multiple Sensitivity</t>
  </si>
  <si>
    <t>Valuation date</t>
  </si>
  <si>
    <t>EV / EBITDA</t>
  </si>
  <si>
    <t>Projection period end</t>
  </si>
  <si>
    <t>2027-06-30</t>
  </si>
  <si>
    <t>Implied $ / share</t>
  </si>
  <si>
    <t>Current SPOT price ($)</t>
  </si>
  <si>
    <t>Upside / (downside)</t>
  </si>
  <si>
    <t>Current Market Cross-Check</t>
  </si>
  <si>
    <t>Current shares outstanding (mm)</t>
  </si>
  <si>
    <t>Terminal Operating Metrics</t>
  </si>
  <si>
    <t>Q2-27E LTM</t>
  </si>
  <si>
    <t>Current market cap ($bn)</t>
  </si>
  <si>
    <t>Revenue (€m)</t>
  </si>
  <si>
    <t>Current enterprise value ($bn)</t>
  </si>
  <si>
    <t>EBIT (€m)</t>
  </si>
  <si>
    <t>Current 2027E EV / EBITDA</t>
  </si>
  <si>
    <t>D&amp;A (€m)</t>
  </si>
  <si>
    <t>Current 2027E P/E</t>
  </si>
  <si>
    <t>EBITDA (€m)</t>
  </si>
  <si>
    <t>EBITDA margin</t>
  </si>
  <si>
    <t>Valuation Bridge</t>
  </si>
  <si>
    <t>LTM EBITDA (€m)</t>
  </si>
  <si>
    <t>Terminal EV / EBITDA</t>
  </si>
  <si>
    <t>Implied enterprise value (€m)</t>
  </si>
  <si>
    <t>Cash &amp; equivalents at Q2-27E (€m)</t>
  </si>
  <si>
    <t>Short-term investments at Q2-27E (€m)</t>
  </si>
  <si>
    <t>Less: exchangeable notes (€m)</t>
  </si>
  <si>
    <t>Implied equity value (€m)</t>
  </si>
  <si>
    <t>Diluted shares (mm)</t>
  </si>
  <si>
    <t>Implied value / share (€)</t>
  </si>
  <si>
    <t>Implied value / share ($)</t>
  </si>
  <si>
    <t>Downside vs. current price</t>
  </si>
  <si>
    <t>Spotify Forecast Assumptions</t>
  </si>
  <si>
    <t>Driver</t>
  </si>
  <si>
    <t>Revenue YoY growth</t>
  </si>
  <si>
    <t>Operating income (€m)</t>
  </si>
  <si>
    <t>Q3 R&amp;D % of total Opex</t>
  </si>
  <si>
    <t>Q3 S&amp;M % of total Opex</t>
  </si>
  <si>
    <t>Q3 G&amp;A % of total Opex</t>
  </si>
  <si>
    <t>R&amp;D % revenue</t>
  </si>
  <si>
    <t>S&amp;M % revenue</t>
  </si>
  <si>
    <t>G&amp;A % revenue</t>
  </si>
  <si>
    <t>Annualized interest yield on prior liquidity</t>
  </si>
  <si>
    <t>Finance costs % revenue</t>
  </si>
  <si>
    <t>Tax rate</t>
  </si>
  <si>
    <t>Quarterly basic share change (mm)</t>
  </si>
  <si>
    <t>Incremental diluted shares (mm)</t>
  </si>
  <si>
    <t>D&amp;A % revenue</t>
  </si>
  <si>
    <t>Intangible amortization % revenue</t>
  </si>
  <si>
    <t>SBC % revenue</t>
  </si>
  <si>
    <t>Cash taxes / tax expense</t>
  </si>
  <si>
    <t>Capex % revenue</t>
  </si>
  <si>
    <t>Option exercise proceeds (€m)</t>
  </si>
  <si>
    <t>Open-market buybacks (€m)</t>
  </si>
  <si>
    <t>Lease payments % revenue</t>
  </si>
  <si>
    <t>Employee tax withholding % revenue</t>
  </si>
  <si>
    <t>FX impact on cash (€m)</t>
  </si>
  <si>
    <t>ROU asset q/q change</t>
  </si>
  <si>
    <t>Receivables % revenue</t>
  </si>
  <si>
    <t>Other current assets % revenue</t>
  </si>
  <si>
    <t>Payables % cost of revenue</t>
  </si>
  <si>
    <t>Deferred revenue % revenue</t>
  </si>
  <si>
    <t>Current accrued liabilities % revenue</t>
  </si>
  <si>
    <t>Non-current lease liabilities q/q change</t>
  </si>
  <si>
    <t>Current provisions (€m)</t>
  </si>
  <si>
    <t>Derivative liabilities (€m)</t>
  </si>
  <si>
    <t>Spotify Reported Inputs (hardcodes; €m except per-share and shares)</t>
  </si>
  <si>
    <t>Annual Income Statement</t>
  </si>
  <si>
    <t>R&amp;D</t>
  </si>
  <si>
    <t>Sales &amp; marketing</t>
  </si>
  <si>
    <t>G&amp;A</t>
  </si>
  <si>
    <t>Total Opex</t>
  </si>
  <si>
    <t>Operating income</t>
  </si>
  <si>
    <t>Net finance</t>
  </si>
  <si>
    <t>Pretax income</t>
  </si>
  <si>
    <t>Income tax</t>
  </si>
  <si>
    <t>Net income</t>
  </si>
  <si>
    <t>Basic WA shares</t>
  </si>
  <si>
    <t>Diluted WA shares</t>
  </si>
  <si>
    <t>Reported Cash Flow (YTD / FY hardcodes)</t>
  </si>
  <si>
    <t>Line Item</t>
  </si>
  <si>
    <t>2023 Q1</t>
  </si>
  <si>
    <t>2023 H1</t>
  </si>
  <si>
    <t>2023 9M</t>
  </si>
  <si>
    <t>2023 FY</t>
  </si>
  <si>
    <t>2024 Q1</t>
  </si>
  <si>
    <t>2024 H1</t>
  </si>
  <si>
    <t>2024 9M</t>
  </si>
  <si>
    <t>2024 FY</t>
  </si>
  <si>
    <t>2025 Q1</t>
  </si>
  <si>
    <t>2025 H1</t>
  </si>
  <si>
    <t>2025 9M</t>
  </si>
  <si>
    <t>2025 FY</t>
  </si>
  <si>
    <t>2026 Q1</t>
  </si>
  <si>
    <t>2026 H1</t>
  </si>
  <si>
    <t>Capitalization Table</t>
  </si>
  <si>
    <t>Share Price</t>
  </si>
  <si>
    <t>Shares Outstanding Build</t>
  </si>
  <si>
    <t>Basic Shares Outstanding</t>
  </si>
  <si>
    <t>Issued ordinary shares</t>
  </si>
  <si>
    <t>(–) Treasury shares</t>
  </si>
  <si>
    <t>RSUs</t>
  </si>
  <si>
    <t>Option Build</t>
  </si>
  <si>
    <t>Options</t>
  </si>
  <si>
    <t>Average Option Strike Price</t>
  </si>
  <si>
    <t>Net New Shares Created by Options</t>
  </si>
  <si>
    <t>Total Diluted Shares Outstanding</t>
  </si>
  <si>
    <t>Market Cap (in Millions)</t>
  </si>
  <si>
    <t>(+) Debt</t>
  </si>
  <si>
    <t>(–) Cash &amp; Short-Term Investments</t>
  </si>
  <si>
    <t>Enterprise Value</t>
  </si>
  <si>
    <t>LTM EV / Sales</t>
  </si>
  <si>
    <t>LTM EV /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</si>
</sst>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;[Red]\(#,##0\);\-"/>
    <numFmt numFmtId="165" formatCode="0.00;[Red]\(0.00\);\-"/>
    <numFmt numFmtId="166" formatCode="0.0;[Red]\(0.0\);\-"/>
    <numFmt numFmtId="167" formatCode="#,##0.0;[Red]\(#,##0.0\);\-"/>
    <numFmt numFmtId="168" formatCode="0.0%;[Red]\(0.0%\);\-"/>
    <numFmt numFmtId="169" formatCode="yyyy\-mm\-dd"/>
    <numFmt numFmtId="170" formatCode="\$0.00;[Red]\(\$0.00\);\-"/>
    <numFmt numFmtId="171" formatCode="0.0000\x"/>
    <numFmt numFmtId="172" formatCode="0.0\x"/>
    <numFmt numFmtId="173" formatCode="0.0"/>
    <numFmt numFmtId="174" formatCode="\€0.00;[Red]\(\€0.00\);\-"/>
    <numFmt numFmtId="175" formatCode="\$0.0"/>
    <numFmt numFmtId="176" formatCode="\$#,##0.00;[Red]\(\$#,##0.00\);\-"/>
    <numFmt numFmtId="177" formatCode="0.0\x;[Red]\(0.0\x\);\-"/>
  </numFmts>
  <fonts count="33">
    <font>
      <sz val="11"/>
      <name val="Carlito"/>
    </font>
    <font>
      <b/>
      <sz val="12"/>
      <color rgb="FFFFFFFF"/>
      <name val="Carlito"/>
    </font>
    <font>
      <b/>
      <sz val="12"/>
      <color rgb="FFFFFFFF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b/>
      <sz val="11"/>
      <name val="Arial"/>
      <family val="2"/>
    </font>
    <font>
      <i/>
      <sz val="9"/>
      <color rgb="FF666666"/>
      <name val="Carlito"/>
    </font>
    <font>
      <b/>
      <sz val="10"/>
      <color rgb="FFFFFFFF"/>
      <name val="Carlito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b/>
      <sz val="9"/>
      <color rgb="FF0000FF"/>
      <name val="Arial"/>
      <family val="2"/>
    </font>
    <font>
      <b/>
      <sz val="9"/>
      <color rgb="FF008000"/>
      <name val="Arial"/>
      <family val="2"/>
    </font>
    <font>
      <b/>
      <sz val="10"/>
      <color rgb="FF000000"/>
      <name val="Carlito"/>
    </font>
    <font>
      <sz val="10"/>
      <color rgb="FF0000FF"/>
      <name val="Carlito"/>
    </font>
    <font>
      <b/>
      <sz val="9"/>
      <color rgb="FFFFFFFF"/>
      <name val="Carlito"/>
    </font>
    <font>
      <sz val="9"/>
      <color rgb="FF0000FF"/>
      <name val="Carlito"/>
    </font>
    <font>
      <sz val="9"/>
      <color rgb="FF000000"/>
      <name val="Carlito"/>
    </font>
    <font>
      <b/>
      <sz val="9"/>
      <name val="Carlito"/>
    </font>
    <font>
      <b/>
      <sz val="10"/>
      <color rgb="FF0000FF"/>
      <name val="Carlito"/>
    </font>
    <font>
      <b/>
      <sz val="9"/>
      <color rgb="FF008000"/>
      <name val="Carlito"/>
    </font>
    <font>
      <sz val="9"/>
      <color rgb="FF008000"/>
      <name val="Carlito"/>
    </font>
    <font>
      <b/>
      <sz val="10"/>
      <name val="Carlito"/>
    </font>
    <font>
      <b/>
      <sz val="10"/>
      <color rgb="FF008000"/>
      <name val="Carlito"/>
    </font>
    <font>
      <b/>
      <sz val="14"/>
      <color rgb="FFFFFFFF"/>
      <name val="Carlito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8000"/>
      <name val="Arial"/>
      <family val="2"/>
    </font>
    <font>
      <sz val="11"/>
      <color rgb="FF008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F3F3F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EEF5FB"/>
      </patternFill>
    </fill>
    <fill>
      <patternFill patternType="solid">
        <fgColor rgb="FF1F4E78"/>
      </patternFill>
    </fill>
    <fill>
      <patternFill patternType="solid">
        <fgColor rgb="FF3F3F3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 style="medium">
        <color rgb="FF5B9BD5"/>
      </left>
      <right/>
      <top/>
      <bottom/>
      <diagonal/>
    </border>
    <border>
      <left style="medium">
        <color rgb="FF5B9BD5"/>
      </left>
      <right/>
      <top style="thin">
        <color rgb="FF80808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4" fillId="3" borderId="0" xfId="0" applyFont="1" applyFill="1"/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right"/>
    </xf>
    <xf numFmtId="167" fontId="5" fillId="5" borderId="0" xfId="0" applyNumberFormat="1" applyFont="1" applyFill="1"/>
    <xf numFmtId="168" fontId="5" fillId="5" borderId="0" xfId="0" applyNumberFormat="1" applyFont="1" applyFill="1"/>
    <xf numFmtId="0" fontId="10" fillId="4" borderId="0" xfId="0" applyFont="1" applyFill="1" applyAlignment="1">
      <alignment horizontal="right"/>
    </xf>
    <xf numFmtId="0" fontId="10" fillId="6" borderId="0" xfId="0" applyFont="1" applyFill="1" applyAlignment="1">
      <alignment horizontal="right"/>
    </xf>
    <xf numFmtId="0" fontId="10" fillId="7" borderId="0" xfId="0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11" fillId="9" borderId="0" xfId="0" applyFont="1" applyFill="1" applyAlignment="1">
      <alignment horizontal="right"/>
    </xf>
    <xf numFmtId="164" fontId="14" fillId="8" borderId="1" xfId="0" applyNumberFormat="1" applyFont="1" applyFill="1" applyBorder="1" applyAlignment="1">
      <alignment horizontal="right"/>
    </xf>
    <xf numFmtId="164" fontId="15" fillId="8" borderId="1" xfId="0" applyNumberFormat="1" applyFont="1" applyFill="1" applyBorder="1" applyAlignment="1">
      <alignment horizontal="right"/>
    </xf>
    <xf numFmtId="164" fontId="15" fillId="9" borderId="1" xfId="0" applyNumberFormat="1" applyFont="1" applyFill="1" applyBorder="1" applyAlignment="1">
      <alignment horizontal="right"/>
    </xf>
    <xf numFmtId="164" fontId="10" fillId="8" borderId="1" xfId="0" applyNumberFormat="1" applyFont="1" applyFill="1" applyBorder="1" applyAlignment="1">
      <alignment horizontal="right"/>
    </xf>
    <xf numFmtId="164" fontId="12" fillId="8" borderId="0" xfId="0" applyNumberFormat="1" applyFont="1" applyFill="1" applyAlignment="1">
      <alignment horizontal="right"/>
    </xf>
    <xf numFmtId="164" fontId="13" fillId="8" borderId="0" xfId="0" applyNumberFormat="1" applyFont="1" applyFill="1" applyAlignment="1">
      <alignment horizontal="right"/>
    </xf>
    <xf numFmtId="164" fontId="11" fillId="9" borderId="0" xfId="0" applyNumberFormat="1" applyFont="1" applyFill="1" applyAlignment="1">
      <alignment horizontal="right"/>
    </xf>
    <xf numFmtId="164" fontId="11" fillId="8" borderId="0" xfId="0" applyNumberFormat="1" applyFont="1" applyFill="1" applyAlignment="1">
      <alignment horizontal="right"/>
    </xf>
    <xf numFmtId="168" fontId="11" fillId="8" borderId="0" xfId="0" applyNumberFormat="1" applyFont="1" applyFill="1" applyAlignment="1">
      <alignment horizontal="right"/>
    </xf>
    <xf numFmtId="168" fontId="11" fillId="9" borderId="0" xfId="0" applyNumberFormat="1" applyFont="1" applyFill="1" applyAlignment="1">
      <alignment horizontal="right"/>
    </xf>
    <xf numFmtId="164" fontId="13" fillId="9" borderId="0" xfId="0" applyNumberFormat="1" applyFont="1" applyFill="1" applyAlignment="1">
      <alignment horizontal="right"/>
    </xf>
    <xf numFmtId="164" fontId="10" fillId="9" borderId="1" xfId="0" applyNumberFormat="1" applyFont="1" applyFill="1" applyBorder="1" applyAlignment="1">
      <alignment horizontal="right"/>
    </xf>
    <xf numFmtId="165" fontId="12" fillId="8" borderId="0" xfId="0" applyNumberFormat="1" applyFont="1" applyFill="1" applyAlignment="1">
      <alignment horizontal="right"/>
    </xf>
    <xf numFmtId="165" fontId="11" fillId="8" borderId="0" xfId="0" applyNumberFormat="1" applyFont="1" applyFill="1" applyAlignment="1">
      <alignment horizontal="right"/>
    </xf>
    <xf numFmtId="165" fontId="11" fillId="9" borderId="0" xfId="0" applyNumberFormat="1" applyFont="1" applyFill="1" applyAlignment="1">
      <alignment horizontal="right"/>
    </xf>
    <xf numFmtId="165" fontId="13" fillId="8" borderId="0" xfId="0" applyNumberFormat="1" applyFont="1" applyFill="1" applyAlignment="1">
      <alignment horizontal="right"/>
    </xf>
    <xf numFmtId="166" fontId="12" fillId="8" borderId="0" xfId="0" applyNumberFormat="1" applyFont="1" applyFill="1" applyAlignment="1">
      <alignment horizontal="right"/>
    </xf>
    <xf numFmtId="166" fontId="13" fillId="8" borderId="0" xfId="0" applyNumberFormat="1" applyFont="1" applyFill="1" applyAlignment="1">
      <alignment horizontal="right"/>
    </xf>
    <xf numFmtId="166" fontId="13" fillId="9" borderId="0" xfId="0" applyNumberFormat="1" applyFont="1" applyFill="1" applyAlignment="1">
      <alignment horizontal="right"/>
    </xf>
    <xf numFmtId="166" fontId="11" fillId="8" borderId="0" xfId="0" applyNumberFormat="1" applyFont="1" applyFill="1" applyAlignment="1">
      <alignment horizontal="right"/>
    </xf>
    <xf numFmtId="164" fontId="12" fillId="9" borderId="0" xfId="0" applyNumberFormat="1" applyFont="1" applyFill="1" applyAlignment="1">
      <alignment horizontal="right"/>
    </xf>
    <xf numFmtId="166" fontId="10" fillId="8" borderId="1" xfId="0" applyNumberFormat="1" applyFont="1" applyFill="1" applyBorder="1" applyAlignment="1">
      <alignment horizontal="right"/>
    </xf>
    <xf numFmtId="166" fontId="10" fillId="9" borderId="1" xfId="0" applyNumberFormat="1" applyFont="1" applyFill="1" applyBorder="1" applyAlignment="1">
      <alignment horizontal="right"/>
    </xf>
    <xf numFmtId="0" fontId="10" fillId="4" borderId="0" xfId="0" applyFont="1" applyFill="1" applyAlignment="1">
      <alignment horizontal="left"/>
    </xf>
    <xf numFmtId="0" fontId="11" fillId="8" borderId="0" xfId="0" applyFont="1" applyFill="1" applyAlignment="1">
      <alignment horizontal="left"/>
    </xf>
    <xf numFmtId="0" fontId="10" fillId="8" borderId="1" xfId="0" applyFont="1" applyFill="1" applyBorder="1" applyAlignment="1">
      <alignment horizontal="left"/>
    </xf>
    <xf numFmtId="0" fontId="10" fillId="6" borderId="2" xfId="0" applyFont="1" applyFill="1" applyBorder="1" applyAlignment="1">
      <alignment horizontal="right"/>
    </xf>
    <xf numFmtId="0" fontId="11" fillId="9" borderId="2" xfId="0" applyFont="1" applyFill="1" applyBorder="1" applyAlignment="1">
      <alignment horizontal="right"/>
    </xf>
    <xf numFmtId="164" fontId="15" fillId="9" borderId="3" xfId="0" applyNumberFormat="1" applyFont="1" applyFill="1" applyBorder="1" applyAlignment="1">
      <alignment horizontal="right"/>
    </xf>
    <xf numFmtId="164" fontId="11" fillId="9" borderId="2" xfId="0" applyNumberFormat="1" applyFont="1" applyFill="1" applyBorder="1" applyAlignment="1">
      <alignment horizontal="right"/>
    </xf>
    <xf numFmtId="168" fontId="11" fillId="9" borderId="2" xfId="0" applyNumberFormat="1" applyFont="1" applyFill="1" applyBorder="1" applyAlignment="1">
      <alignment horizontal="right"/>
    </xf>
    <xf numFmtId="164" fontId="13" fillId="9" borderId="2" xfId="0" applyNumberFormat="1" applyFont="1" applyFill="1" applyBorder="1" applyAlignment="1">
      <alignment horizontal="right"/>
    </xf>
    <xf numFmtId="164" fontId="10" fillId="9" borderId="3" xfId="0" applyNumberFormat="1" applyFont="1" applyFill="1" applyBorder="1" applyAlignment="1">
      <alignment horizontal="right"/>
    </xf>
    <xf numFmtId="165" fontId="11" fillId="9" borderId="2" xfId="0" applyNumberFormat="1" applyFont="1" applyFill="1" applyBorder="1" applyAlignment="1">
      <alignment horizontal="right"/>
    </xf>
    <xf numFmtId="166" fontId="13" fillId="9" borderId="2" xfId="0" applyNumberFormat="1" applyFont="1" applyFill="1" applyBorder="1" applyAlignment="1">
      <alignment horizontal="right"/>
    </xf>
    <xf numFmtId="164" fontId="12" fillId="9" borderId="2" xfId="0" applyNumberFormat="1" applyFont="1" applyFill="1" applyBorder="1" applyAlignment="1">
      <alignment horizontal="right"/>
    </xf>
    <xf numFmtId="166" fontId="10" fillId="9" borderId="3" xfId="0" applyNumberFormat="1" applyFont="1" applyFill="1" applyBorder="1" applyAlignment="1">
      <alignment horizontal="right"/>
    </xf>
    <xf numFmtId="0" fontId="8" fillId="11" borderId="0" xfId="0" applyFont="1" applyFill="1"/>
    <xf numFmtId="169" fontId="17" fillId="12" borderId="0" xfId="0" applyNumberFormat="1" applyFont="1" applyFill="1"/>
    <xf numFmtId="170" fontId="17" fillId="12" borderId="0" xfId="0" applyNumberFormat="1" applyFont="1" applyFill="1"/>
    <xf numFmtId="171" fontId="17" fillId="12" borderId="0" xfId="0" applyNumberFormat="1" applyFont="1" applyFill="1"/>
    <xf numFmtId="172" fontId="17" fillId="12" borderId="0" xfId="0" applyNumberFormat="1" applyFont="1" applyFill="1"/>
    <xf numFmtId="0" fontId="18" fillId="11" borderId="0" xfId="0" applyFont="1" applyFill="1"/>
    <xf numFmtId="0" fontId="18" fillId="11" borderId="0" xfId="0" applyFont="1" applyFill="1" applyAlignment="1">
      <alignment horizontal="right"/>
    </xf>
    <xf numFmtId="0" fontId="18" fillId="11" borderId="0" xfId="0" applyFont="1" applyFill="1" applyAlignment="1">
      <alignment horizontal="left"/>
    </xf>
    <xf numFmtId="0" fontId="19" fillId="0" borderId="0" xfId="0" applyFont="1"/>
    <xf numFmtId="164" fontId="19" fillId="0" borderId="0" xfId="0" applyNumberFormat="1" applyFont="1"/>
    <xf numFmtId="168" fontId="20" fillId="0" borderId="0" xfId="0" applyNumberFormat="1" applyFont="1"/>
    <xf numFmtId="172" fontId="19" fillId="0" borderId="0" xfId="0" applyNumberFormat="1" applyFont="1"/>
    <xf numFmtId="0" fontId="21" fillId="13" borderId="0" xfId="0" applyFont="1" applyFill="1"/>
    <xf numFmtId="0" fontId="21" fillId="0" borderId="0" xfId="0" applyFont="1"/>
    <xf numFmtId="168" fontId="21" fillId="13" borderId="0" xfId="0" applyNumberFormat="1" applyFont="1" applyFill="1"/>
    <xf numFmtId="168" fontId="21" fillId="0" borderId="0" xfId="0" applyNumberFormat="1" applyFont="1"/>
    <xf numFmtId="172" fontId="21" fillId="13" borderId="0" xfId="0" applyNumberFormat="1" applyFont="1" applyFill="1"/>
    <xf numFmtId="172" fontId="21" fillId="0" borderId="0" xfId="0" applyNumberFormat="1" applyFont="1"/>
    <xf numFmtId="172" fontId="20" fillId="0" borderId="0" xfId="0" applyNumberFormat="1" applyFont="1"/>
    <xf numFmtId="169" fontId="19" fillId="12" borderId="0" xfId="0" applyNumberFormat="1" applyFont="1" applyFill="1"/>
    <xf numFmtId="170" fontId="19" fillId="12" borderId="0" xfId="0" applyNumberFormat="1" applyFont="1" applyFill="1"/>
    <xf numFmtId="171" fontId="19" fillId="12" borderId="0" xfId="0" applyNumberFormat="1" applyFont="1" applyFill="1"/>
    <xf numFmtId="172" fontId="23" fillId="12" borderId="0" xfId="0" applyNumberFormat="1" applyFont="1" applyFill="1"/>
    <xf numFmtId="0" fontId="18" fillId="10" borderId="0" xfId="0" applyFont="1" applyFill="1"/>
    <xf numFmtId="164" fontId="24" fillId="0" borderId="0" xfId="0" applyNumberFormat="1" applyFont="1"/>
    <xf numFmtId="168" fontId="24" fillId="0" borderId="0" xfId="0" applyNumberFormat="1" applyFont="1"/>
    <xf numFmtId="172" fontId="24" fillId="0" borderId="0" xfId="0" applyNumberFormat="1" applyFont="1"/>
    <xf numFmtId="173" fontId="24" fillId="0" borderId="0" xfId="0" applyNumberFormat="1" applyFont="1"/>
    <xf numFmtId="174" fontId="24" fillId="0" borderId="0" xfId="0" applyNumberFormat="1" applyFont="1"/>
    <xf numFmtId="0" fontId="25" fillId="0" borderId="0" xfId="0" applyFont="1"/>
    <xf numFmtId="170" fontId="0" fillId="0" borderId="0" xfId="0" applyNumberFormat="1"/>
    <xf numFmtId="168" fontId="0" fillId="0" borderId="0" xfId="0" applyNumberFormat="1"/>
    <xf numFmtId="173" fontId="19" fillId="12" borderId="0" xfId="0" applyNumberFormat="1" applyFont="1" applyFill="1"/>
    <xf numFmtId="175" fontId="19" fillId="12" borderId="0" xfId="0" applyNumberFormat="1" applyFont="1" applyFill="1"/>
    <xf numFmtId="172" fontId="19" fillId="12" borderId="0" xfId="0" applyNumberFormat="1" applyFont="1" applyFill="1"/>
    <xf numFmtId="0" fontId="7" fillId="0" borderId="0" xfId="0" applyFont="1" applyAlignment="1">
      <alignment vertical="top" wrapText="1"/>
    </xf>
    <xf numFmtId="0" fontId="8" fillId="10" borderId="0" xfId="0" applyFont="1" applyFill="1"/>
    <xf numFmtId="172" fontId="22" fillId="0" borderId="0" xfId="0" applyNumberFormat="1" applyFont="1"/>
    <xf numFmtId="170" fontId="26" fillId="12" borderId="0" xfId="0" applyNumberFormat="1" applyFont="1" applyFill="1"/>
    <xf numFmtId="168" fontId="16" fillId="12" borderId="0" xfId="0" applyNumberFormat="1" applyFont="1" applyFill="1"/>
    <xf numFmtId="0" fontId="28" fillId="15" borderId="0" xfId="0" applyFont="1" applyFill="1" applyAlignment="1">
      <alignment horizontal="left" vertical="center"/>
    </xf>
    <xf numFmtId="0" fontId="28" fillId="15" borderId="0" xfId="0" applyFont="1" applyFill="1" applyAlignment="1">
      <alignment horizontal="right" vertical="center"/>
    </xf>
    <xf numFmtId="0" fontId="30" fillId="15" borderId="0" xfId="0" applyFont="1" applyFill="1" applyAlignment="1">
      <alignment horizontal="left" vertical="center"/>
    </xf>
    <xf numFmtId="176" fontId="31" fillId="15" borderId="0" xfId="0" applyNumberFormat="1" applyFont="1" applyFill="1" applyAlignment="1">
      <alignment horizontal="right" vertical="center"/>
    </xf>
    <xf numFmtId="167" fontId="30" fillId="15" borderId="0" xfId="0" applyNumberFormat="1" applyFont="1" applyFill="1" applyAlignment="1">
      <alignment horizontal="right" vertical="center"/>
    </xf>
    <xf numFmtId="167" fontId="5" fillId="15" borderId="0" xfId="0" applyNumberFormat="1" applyFont="1" applyFill="1" applyAlignment="1">
      <alignment horizontal="right" vertical="center"/>
    </xf>
    <xf numFmtId="167" fontId="28" fillId="15" borderId="0" xfId="0" applyNumberFormat="1" applyFont="1" applyFill="1" applyAlignment="1">
      <alignment horizontal="right" vertical="center"/>
    </xf>
    <xf numFmtId="176" fontId="5" fillId="15" borderId="0" xfId="0" applyNumberFormat="1" applyFont="1" applyFill="1" applyAlignment="1">
      <alignment horizontal="right" vertical="center"/>
    </xf>
    <xf numFmtId="167" fontId="32" fillId="15" borderId="0" xfId="0" applyNumberFormat="1" applyFont="1" applyFill="1" applyAlignment="1">
      <alignment horizontal="right" vertical="center"/>
    </xf>
    <xf numFmtId="177" fontId="32" fillId="15" borderId="0" xfId="0" applyNumberFormat="1" applyFont="1" applyFill="1" applyAlignment="1">
      <alignment horizontal="right" vertical="center"/>
    </xf>
    <xf numFmtId="0" fontId="30" fillId="15" borderId="5" xfId="0" applyFont="1" applyFill="1" applyBorder="1" applyAlignment="1">
      <alignment horizontal="left" vertical="center"/>
    </xf>
    <xf numFmtId="167" fontId="30" fillId="15" borderId="5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right" vertical="center"/>
    </xf>
    <xf numFmtId="0" fontId="9" fillId="9" borderId="2" xfId="0" applyFont="1" applyFill="1" applyBorder="1" applyAlignment="1">
      <alignment horizontal="right" vertical="center"/>
    </xf>
    <xf numFmtId="0" fontId="9" fillId="9" borderId="0" xfId="0" applyFont="1" applyFill="1" applyAlignment="1">
      <alignment horizontal="right" vertical="center"/>
    </xf>
    <xf numFmtId="0" fontId="27" fillId="14" borderId="0" xfId="0" applyFont="1" applyFill="1" applyAlignment="1">
      <alignment horizontal="left" vertical="center"/>
    </xf>
    <xf numFmtId="0" fontId="1" fillId="10" borderId="0" xfId="0" applyFont="1" applyFill="1"/>
    <xf numFmtId="0" fontId="18" fillId="11" borderId="0" xfId="0" applyFont="1" applyFill="1"/>
    <xf numFmtId="0" fontId="29" fillId="15" borderId="4" xfId="0" applyFont="1" applyFill="1" applyBorder="1" applyAlignment="1">
      <alignment horizontal="center" vertical="center"/>
    </xf>
    <xf numFmtId="0" fontId="28" fillId="15" borderId="4" xfId="0" applyFont="1" applyFill="1" applyBorder="1" applyAlignment="1">
      <alignment horizontal="right" vertical="center"/>
    </xf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showGridLines="0" zoomScale="125" workbookViewId="0">
      <selection activeCell="B18" sqref="B18"/>
    </sheetView>
  </sheetViews>
  <sheetFormatPr baseColWidth="10" defaultColWidth="8.83203125" defaultRowHeight="14"/>
  <cols>
    <col min="1" max="1" width="39" customWidth="1"/>
    <col min="2" max="2" width="18" customWidth="1"/>
  </cols>
  <sheetData>
    <row r="1" spans="1:2" ht="32" customHeight="1">
      <c r="A1" s="114" t="s">
        <v>275</v>
      </c>
      <c r="B1" s="115"/>
    </row>
    <row r="2" spans="1:2" ht="26.75" customHeight="1">
      <c r="A2" s="96" t="s">
        <v>276</v>
      </c>
      <c r="B2" s="97">
        <f>Valuation!B6</f>
        <v>472.89</v>
      </c>
    </row>
    <row r="3" spans="1:2" ht="26.75" customHeight="1">
      <c r="A3" s="94" t="s">
        <v>277</v>
      </c>
      <c r="B3" s="95"/>
    </row>
    <row r="4" spans="1:2" ht="26.75" customHeight="1">
      <c r="A4" s="96" t="s">
        <v>278</v>
      </c>
      <c r="B4" s="98">
        <f>SUM(B5:B6)</f>
        <v>205.584205</v>
      </c>
    </row>
    <row r="5" spans="1:2" ht="26.75" customHeight="1">
      <c r="A5" s="94" t="s">
        <v>279</v>
      </c>
      <c r="B5" s="99">
        <v>210.24126799999999</v>
      </c>
    </row>
    <row r="6" spans="1:2" ht="26.75" customHeight="1">
      <c r="A6" s="94" t="s">
        <v>280</v>
      </c>
      <c r="B6" s="99">
        <v>-4.657063</v>
      </c>
    </row>
    <row r="7" spans="1:2" ht="26.75" customHeight="1">
      <c r="A7" s="94" t="s">
        <v>281</v>
      </c>
      <c r="B7" s="99">
        <v>1.456016</v>
      </c>
    </row>
    <row r="8" spans="1:2" ht="26.75" customHeight="1">
      <c r="A8" s="94" t="s">
        <v>282</v>
      </c>
      <c r="B8" s="100"/>
    </row>
    <row r="9" spans="1:2" ht="26.75" customHeight="1">
      <c r="A9" s="94" t="s">
        <v>283</v>
      </c>
      <c r="B9" s="99">
        <v>4.4968139999999996</v>
      </c>
    </row>
    <row r="10" spans="1:2" ht="26.75" customHeight="1">
      <c r="A10" s="94" t="s">
        <v>284</v>
      </c>
      <c r="B10" s="101">
        <v>256.44</v>
      </c>
    </row>
    <row r="11" spans="1:2" ht="26.75" customHeight="1">
      <c r="A11" s="94" t="s">
        <v>285</v>
      </c>
      <c r="B11" s="100">
        <f>MAX(0,B9*(B2-B10)/B2)</f>
        <v>2.0582701903191016</v>
      </c>
    </row>
    <row r="12" spans="1:2" ht="26.75" customHeight="1">
      <c r="A12" s="104" t="s">
        <v>286</v>
      </c>
      <c r="B12" s="105">
        <f>B4+B7+B11</f>
        <v>209.09849119031909</v>
      </c>
    </row>
    <row r="13" spans="1:2" ht="26.75" customHeight="1">
      <c r="A13" s="94" t="s">
        <v>287</v>
      </c>
      <c r="B13" s="100">
        <f>B2*B12</f>
        <v>98880.585498989996</v>
      </c>
    </row>
    <row r="14" spans="1:2" ht="26.75" customHeight="1">
      <c r="A14" s="94" t="s">
        <v>288</v>
      </c>
      <c r="B14" s="102">
        <f>(Model!O50+Model!O60)*Valuation!B7</f>
        <v>0</v>
      </c>
    </row>
    <row r="15" spans="1:2" ht="26.75" customHeight="1">
      <c r="A15" s="94" t="s">
        <v>289</v>
      </c>
      <c r="B15" s="102">
        <f>(Model!O39+Model!O40)*Valuation!B7</f>
        <v>10569.949199999999</v>
      </c>
    </row>
    <row r="16" spans="1:2" ht="26.75" customHeight="1">
      <c r="A16" s="96" t="s">
        <v>290</v>
      </c>
      <c r="B16" s="98">
        <f>B13+B14-B15</f>
        <v>88310.636298989994</v>
      </c>
    </row>
    <row r="17" spans="1:2" ht="26.75" customHeight="1">
      <c r="A17" s="94" t="s">
        <v>291</v>
      </c>
      <c r="B17" s="103">
        <f>B16/(SUM(Model!L5:O5)*Valuation!B7)</f>
        <v>4.3303480870622879</v>
      </c>
    </row>
    <row r="18" spans="1:2" ht="26.75" customHeight="1">
      <c r="A18" s="94" t="s">
        <v>292</v>
      </c>
      <c r="B18" s="103">
        <f>B16/((SUM(Model!L13:O13)+SUM(Model!L71:O71)+SUM(Model!L72:O72))*Valuation!B7)</f>
        <v>28.449617301762505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8"/>
  <sheetViews>
    <sheetView showGridLines="0" topLeftCell="A61" workbookViewId="0">
      <selection activeCell="N8" sqref="N8"/>
    </sheetView>
  </sheetViews>
  <sheetFormatPr baseColWidth="10" defaultColWidth="8.83203125" defaultRowHeight="14"/>
  <cols>
    <col min="1" max="1" width="42" customWidth="1"/>
    <col min="2" max="19" width="11" customWidth="1"/>
    <col min="20" max="20" width="2" customWidth="1"/>
    <col min="21" max="25" width="12" customWidth="1"/>
  </cols>
  <sheetData>
    <row r="1" spans="1:25" ht="16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</row>
    <row r="2" spans="1:25">
      <c r="A2" s="40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43" t="s">
        <v>16</v>
      </c>
      <c r="Q2" s="13" t="s">
        <v>17</v>
      </c>
      <c r="R2" s="13" t="s">
        <v>18</v>
      </c>
      <c r="S2" s="13" t="s">
        <v>19</v>
      </c>
      <c r="T2" s="15"/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</row>
    <row r="3" spans="1:25">
      <c r="A3" s="41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44"/>
      <c r="Q3" s="16"/>
      <c r="R3" s="16"/>
      <c r="S3" s="16"/>
      <c r="T3" s="15"/>
      <c r="U3" s="15"/>
      <c r="V3" s="15"/>
      <c r="W3" s="15"/>
      <c r="X3" s="15"/>
      <c r="Y3" s="15"/>
    </row>
    <row r="4" spans="1:25" ht="32" customHeight="1">
      <c r="A4" s="107" t="s">
        <v>25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  <c r="Q4" s="110"/>
      <c r="R4" s="110"/>
      <c r="S4" s="110"/>
      <c r="T4" s="108"/>
      <c r="U4" s="108"/>
      <c r="V4" s="108"/>
      <c r="W4" s="108"/>
      <c r="X4" s="108"/>
      <c r="Y4" s="108"/>
    </row>
    <row r="5" spans="1:25">
      <c r="A5" s="42" t="s">
        <v>26</v>
      </c>
      <c r="B5" s="17">
        <v>3042</v>
      </c>
      <c r="C5" s="17">
        <v>3177</v>
      </c>
      <c r="D5" s="17">
        <v>3357</v>
      </c>
      <c r="E5" s="18">
        <f>'Raw Numbers'!$B$4-SUM(B5:D5)</f>
        <v>3671</v>
      </c>
      <c r="F5" s="17">
        <v>3636</v>
      </c>
      <c r="G5" s="17">
        <v>3807</v>
      </c>
      <c r="H5" s="17">
        <v>3988</v>
      </c>
      <c r="I5" s="18">
        <f>'Raw Numbers'!$C$4-SUM(F5:H5)</f>
        <v>4242</v>
      </c>
      <c r="J5" s="17">
        <v>4190</v>
      </c>
      <c r="K5" s="17">
        <v>4193</v>
      </c>
      <c r="L5" s="17">
        <v>4272</v>
      </c>
      <c r="M5" s="18">
        <f>'Raw Numbers'!$D$4-SUM(J5:L5)</f>
        <v>4531</v>
      </c>
      <c r="N5" s="17">
        <v>4533</v>
      </c>
      <c r="O5" s="17">
        <v>4777</v>
      </c>
      <c r="P5" s="45">
        <f>Assumptions!B4</f>
        <v>5000</v>
      </c>
      <c r="Q5" s="19">
        <f>M5*(1+Assumptions!C5)</f>
        <v>5029.4100000000008</v>
      </c>
      <c r="R5" s="19">
        <f>N5*(1+Assumptions!D5)</f>
        <v>4986.3</v>
      </c>
      <c r="S5" s="19">
        <f>O5*(1+Assumptions!E5)</f>
        <v>5254.7000000000007</v>
      </c>
      <c r="T5" s="20"/>
      <c r="U5" s="20">
        <f>SUM(B5,C5,D5,E5)</f>
        <v>13247</v>
      </c>
      <c r="V5" s="20">
        <f>SUM(F5,G5,H5,I5)</f>
        <v>15673</v>
      </c>
      <c r="W5" s="20">
        <f>SUM(J5,K5,L5,M5)</f>
        <v>17186</v>
      </c>
      <c r="X5" s="20">
        <f>SUM(N5,O5,P5,Q5)</f>
        <v>19339.41</v>
      </c>
      <c r="Y5" s="20">
        <f>SUM(P5,Q5,R5,S5)</f>
        <v>20270.41</v>
      </c>
    </row>
    <row r="6" spans="1:25">
      <c r="A6" s="41" t="s">
        <v>27</v>
      </c>
      <c r="B6" s="21">
        <v>2276</v>
      </c>
      <c r="C6" s="21">
        <v>2411</v>
      </c>
      <c r="D6" s="21">
        <v>2472</v>
      </c>
      <c r="E6" s="22">
        <f>'Raw Numbers'!$B$5-SUM(B6:D6)</f>
        <v>2691</v>
      </c>
      <c r="F6" s="21">
        <v>2632</v>
      </c>
      <c r="G6" s="21">
        <v>2695</v>
      </c>
      <c r="H6" s="21">
        <v>2748</v>
      </c>
      <c r="I6" s="22">
        <f>'Raw Numbers'!$C$5-SUM(F6:H6)</f>
        <v>2874</v>
      </c>
      <c r="J6" s="21">
        <v>2864</v>
      </c>
      <c r="K6" s="21">
        <v>2873</v>
      </c>
      <c r="L6" s="21">
        <v>2921</v>
      </c>
      <c r="M6" s="22">
        <f>'Raw Numbers'!$D$5-SUM(J6:L6)</f>
        <v>3032</v>
      </c>
      <c r="N6" s="21">
        <v>3038</v>
      </c>
      <c r="O6" s="21">
        <v>3181</v>
      </c>
      <c r="P6" s="46">
        <f>P5-P7</f>
        <v>3355</v>
      </c>
      <c r="Q6" s="23">
        <f>Q5-Q7</f>
        <v>3384.7929300000005</v>
      </c>
      <c r="R6" s="23">
        <f>R5-R7</f>
        <v>3350.7936</v>
      </c>
      <c r="S6" s="23">
        <f>S5-S7</f>
        <v>3525.9037000000003</v>
      </c>
      <c r="T6" s="24"/>
      <c r="U6" s="24">
        <f>SUM(B6,C6,D6,E6)</f>
        <v>9850</v>
      </c>
      <c r="V6" s="24">
        <f>SUM(F6,G6,H6,I6)</f>
        <v>10949</v>
      </c>
      <c r="W6" s="24">
        <f>SUM(J6,K6,L6,M6)</f>
        <v>11690</v>
      </c>
      <c r="X6" s="24">
        <f>SUM(N6,O6,P6,Q6)</f>
        <v>12958.79293</v>
      </c>
      <c r="Y6" s="24">
        <f>SUM(P6,Q6,R6,S6)</f>
        <v>13616.490230000001</v>
      </c>
    </row>
    <row r="7" spans="1:25">
      <c r="A7" s="42" t="s">
        <v>28</v>
      </c>
      <c r="B7" s="20">
        <f t="shared" ref="B7:O7" si="0">B5-B6</f>
        <v>766</v>
      </c>
      <c r="C7" s="20">
        <f t="shared" si="0"/>
        <v>766</v>
      </c>
      <c r="D7" s="20">
        <f t="shared" si="0"/>
        <v>885</v>
      </c>
      <c r="E7" s="20">
        <f t="shared" si="0"/>
        <v>980</v>
      </c>
      <c r="F7" s="20">
        <f t="shared" si="0"/>
        <v>1004</v>
      </c>
      <c r="G7" s="20">
        <f t="shared" si="0"/>
        <v>1112</v>
      </c>
      <c r="H7" s="20">
        <f t="shared" si="0"/>
        <v>1240</v>
      </c>
      <c r="I7" s="20">
        <f t="shared" si="0"/>
        <v>1368</v>
      </c>
      <c r="J7" s="20">
        <f t="shared" si="0"/>
        <v>1326</v>
      </c>
      <c r="K7" s="20">
        <f t="shared" si="0"/>
        <v>1320</v>
      </c>
      <c r="L7" s="20">
        <f t="shared" si="0"/>
        <v>1351</v>
      </c>
      <c r="M7" s="20">
        <f t="shared" si="0"/>
        <v>1499</v>
      </c>
      <c r="N7" s="20">
        <f t="shared" si="0"/>
        <v>1495</v>
      </c>
      <c r="O7" s="20">
        <f t="shared" si="0"/>
        <v>1596</v>
      </c>
      <c r="P7" s="45">
        <f>P5*Assumptions!B6</f>
        <v>1645</v>
      </c>
      <c r="Q7" s="19">
        <f>Q5*Assumptions!C6</f>
        <v>1644.6170700000002</v>
      </c>
      <c r="R7" s="19">
        <f>R5*Assumptions!D6</f>
        <v>1635.5064000000002</v>
      </c>
      <c r="S7" s="19">
        <f>S5*Assumptions!E6</f>
        <v>1728.7963000000004</v>
      </c>
      <c r="T7" s="20"/>
      <c r="U7" s="20">
        <f>SUM(B7,C7,D7,E7)</f>
        <v>3397</v>
      </c>
      <c r="V7" s="20">
        <f>SUM(F7,G7,H7,I7)</f>
        <v>4724</v>
      </c>
      <c r="W7" s="20">
        <f>SUM(J7,K7,L7,M7)</f>
        <v>5496</v>
      </c>
      <c r="X7" s="20">
        <f>SUM(N7,O7,P7,Q7)</f>
        <v>6380.6170700000002</v>
      </c>
      <c r="Y7" s="20">
        <f>SUM(P7,Q7,R7,S7)</f>
        <v>6653.9197700000004</v>
      </c>
    </row>
    <row r="8" spans="1:25">
      <c r="A8" s="41" t="s">
        <v>29</v>
      </c>
      <c r="B8" s="25">
        <f t="shared" ref="B8:S8" si="1">B7/B5</f>
        <v>0.2518080210387903</v>
      </c>
      <c r="C8" s="25">
        <f t="shared" si="1"/>
        <v>0.24110796348756688</v>
      </c>
      <c r="D8" s="25">
        <f t="shared" si="1"/>
        <v>0.26362823949955316</v>
      </c>
      <c r="E8" s="25">
        <f t="shared" si="1"/>
        <v>0.26695723236175428</v>
      </c>
      <c r="F8" s="25">
        <f t="shared" si="1"/>
        <v>0.27612761276127612</v>
      </c>
      <c r="G8" s="25">
        <f t="shared" si="1"/>
        <v>0.29209351195166799</v>
      </c>
      <c r="H8" s="25">
        <f t="shared" si="1"/>
        <v>0.31093279839518556</v>
      </c>
      <c r="I8" s="25">
        <f t="shared" si="1"/>
        <v>0.32248939179632247</v>
      </c>
      <c r="J8" s="25">
        <f t="shared" si="1"/>
        <v>0.31646778042959428</v>
      </c>
      <c r="K8" s="25">
        <f t="shared" si="1"/>
        <v>0.3148103982828524</v>
      </c>
      <c r="L8" s="25">
        <f t="shared" si="1"/>
        <v>0.31624531835205993</v>
      </c>
      <c r="M8" s="25">
        <f t="shared" si="1"/>
        <v>0.33083204590598103</v>
      </c>
      <c r="N8" s="25">
        <f t="shared" si="1"/>
        <v>0.3298036620339731</v>
      </c>
      <c r="O8" s="25">
        <f t="shared" si="1"/>
        <v>0.33410090014653548</v>
      </c>
      <c r="P8" s="47">
        <f t="shared" si="1"/>
        <v>0.32900000000000001</v>
      </c>
      <c r="Q8" s="26">
        <f t="shared" si="1"/>
        <v>0.32700000000000001</v>
      </c>
      <c r="R8" s="26">
        <f t="shared" si="1"/>
        <v>0.32800000000000001</v>
      </c>
      <c r="S8" s="26">
        <f t="shared" si="1"/>
        <v>0.32900000000000001</v>
      </c>
      <c r="T8" s="25"/>
      <c r="U8" s="25">
        <f>U7/U5</f>
        <v>0.25643541934022795</v>
      </c>
      <c r="V8" s="25">
        <f>V7/V5</f>
        <v>0.30141006827027372</v>
      </c>
      <c r="W8" s="25">
        <f>W7/W5</f>
        <v>0.31979518212498548</v>
      </c>
      <c r="X8" s="25">
        <f>X7/X5</f>
        <v>0.32992821756196289</v>
      </c>
      <c r="Y8" s="25">
        <f>Y7/Y5</f>
        <v>0.32825777919637544</v>
      </c>
    </row>
    <row r="9" spans="1:25">
      <c r="A9" s="41" t="s">
        <v>30</v>
      </c>
      <c r="B9" s="21">
        <v>435</v>
      </c>
      <c r="C9" s="21">
        <v>453</v>
      </c>
      <c r="D9" s="21">
        <v>369</v>
      </c>
      <c r="E9" s="22">
        <f>'Raw Numbers'!$B$7-SUM(B9:D9)</f>
        <v>468</v>
      </c>
      <c r="F9" s="21">
        <v>389</v>
      </c>
      <c r="G9" s="21">
        <v>379</v>
      </c>
      <c r="H9" s="21">
        <v>342</v>
      </c>
      <c r="I9" s="22">
        <f>'Raw Numbers'!$C$7-SUM(F9:H9)</f>
        <v>376</v>
      </c>
      <c r="J9" s="21">
        <v>379</v>
      </c>
      <c r="K9" s="21">
        <v>415</v>
      </c>
      <c r="L9" s="21">
        <v>309</v>
      </c>
      <c r="M9" s="22">
        <f>'Raw Numbers'!$D$7-SUM(J9:L9)</f>
        <v>290</v>
      </c>
      <c r="N9" s="21">
        <v>331</v>
      </c>
      <c r="O9" s="21">
        <v>403</v>
      </c>
      <c r="P9" s="48">
        <f>(P7-Assumptions!B7)*Assumptions!B8</f>
        <v>409.5</v>
      </c>
      <c r="Q9" s="27">
        <f>Q5*Assumptions!C11</f>
        <v>377.20575000000002</v>
      </c>
      <c r="R9" s="27">
        <f>R5*Assumptions!D11</f>
        <v>378.9588</v>
      </c>
      <c r="S9" s="27">
        <f>S5*Assumptions!E11</f>
        <v>409.86660000000006</v>
      </c>
      <c r="T9" s="24"/>
      <c r="U9" s="24">
        <f>SUM(B9,C9,D9,E9)</f>
        <v>1725</v>
      </c>
      <c r="V9" s="24">
        <f>SUM(F9,G9,H9,I9)</f>
        <v>1486</v>
      </c>
      <c r="W9" s="24">
        <f>SUM(J9,K9,L9,M9)</f>
        <v>1393</v>
      </c>
      <c r="X9" s="24">
        <f>SUM(N9,O9,P9,Q9)</f>
        <v>1520.7057500000001</v>
      </c>
      <c r="Y9" s="24">
        <f>SUM(P9,Q9,R9,S9)</f>
        <v>1575.53115</v>
      </c>
    </row>
    <row r="10" spans="1:25">
      <c r="A10" s="41" t="s">
        <v>31</v>
      </c>
      <c r="B10" s="21">
        <v>347</v>
      </c>
      <c r="C10" s="21">
        <v>399</v>
      </c>
      <c r="D10" s="21">
        <v>355</v>
      </c>
      <c r="E10" s="22">
        <f>'Raw Numbers'!$B$8-SUM(B10:D10)</f>
        <v>432</v>
      </c>
      <c r="F10" s="21">
        <v>324</v>
      </c>
      <c r="G10" s="21">
        <v>343</v>
      </c>
      <c r="H10" s="21">
        <v>332</v>
      </c>
      <c r="I10" s="22">
        <f>'Raw Numbers'!$C$8-SUM(F10:H10)</f>
        <v>393</v>
      </c>
      <c r="J10" s="21">
        <v>314</v>
      </c>
      <c r="K10" s="21">
        <v>364</v>
      </c>
      <c r="L10" s="21">
        <v>349</v>
      </c>
      <c r="M10" s="22">
        <f>'Raw Numbers'!$D$8-SUM(J10:L10)</f>
        <v>399</v>
      </c>
      <c r="N10" s="21">
        <v>342</v>
      </c>
      <c r="O10" s="21">
        <v>390</v>
      </c>
      <c r="P10" s="48">
        <f>(P7-Assumptions!B7)*Assumptions!B9</f>
        <v>409.5</v>
      </c>
      <c r="Q10" s="27">
        <f>Q5*Assumptions!C12</f>
        <v>402.35280000000006</v>
      </c>
      <c r="R10" s="27">
        <f>R5*Assumptions!D12</f>
        <v>398.904</v>
      </c>
      <c r="S10" s="27">
        <f>S5*Assumptions!E12</f>
        <v>420.37600000000009</v>
      </c>
      <c r="T10" s="24"/>
      <c r="U10" s="24">
        <f>SUM(B10,C10,D10,E10)</f>
        <v>1533</v>
      </c>
      <c r="V10" s="24">
        <f>SUM(F10,G10,H10,I10)</f>
        <v>1392</v>
      </c>
      <c r="W10" s="24">
        <f>SUM(J10,K10,L10,M10)</f>
        <v>1426</v>
      </c>
      <c r="X10" s="24">
        <f>SUM(N10,O10,P10,Q10)</f>
        <v>1543.8528000000001</v>
      </c>
      <c r="Y10" s="24">
        <f>SUM(P10,Q10,R10,S10)</f>
        <v>1631.1328000000003</v>
      </c>
    </row>
    <row r="11" spans="1:25">
      <c r="A11" s="41" t="s">
        <v>32</v>
      </c>
      <c r="B11" s="21">
        <v>140</v>
      </c>
      <c r="C11" s="21">
        <v>161</v>
      </c>
      <c r="D11" s="21">
        <v>129</v>
      </c>
      <c r="E11" s="22">
        <f>'Raw Numbers'!$B$9-SUM(B11:D11)</f>
        <v>155</v>
      </c>
      <c r="F11" s="21">
        <v>123</v>
      </c>
      <c r="G11" s="21">
        <v>124</v>
      </c>
      <c r="H11" s="21">
        <v>112</v>
      </c>
      <c r="I11" s="22">
        <f>'Raw Numbers'!$C$9-SUM(F11:H11)</f>
        <v>122</v>
      </c>
      <c r="J11" s="21">
        <v>124</v>
      </c>
      <c r="K11" s="21">
        <v>135</v>
      </c>
      <c r="L11" s="21">
        <v>111</v>
      </c>
      <c r="M11" s="22">
        <f>'Raw Numbers'!$D$9-SUM(J11:L11)</f>
        <v>109</v>
      </c>
      <c r="N11" s="21">
        <v>107</v>
      </c>
      <c r="O11" s="21">
        <v>148</v>
      </c>
      <c r="P11" s="48">
        <f>(P7-Assumptions!B7)*Assumptions!B10</f>
        <v>156</v>
      </c>
      <c r="Q11" s="27">
        <f>Q5*Assumptions!C13</f>
        <v>130.76466000000002</v>
      </c>
      <c r="R11" s="27">
        <f>R5*Assumptions!D13</f>
        <v>129.6438</v>
      </c>
      <c r="S11" s="27">
        <f>S5*Assumptions!E13</f>
        <v>141.87690000000001</v>
      </c>
      <c r="T11" s="24"/>
      <c r="U11" s="24">
        <f>SUM(B11,C11,D11,E11)</f>
        <v>585</v>
      </c>
      <c r="V11" s="24">
        <f>SUM(F11,G11,H11,I11)</f>
        <v>481</v>
      </c>
      <c r="W11" s="24">
        <f>SUM(J11,K11,L11,M11)</f>
        <v>479</v>
      </c>
      <c r="X11" s="24">
        <f>SUM(N11,O11,P11,Q11)</f>
        <v>541.76466000000005</v>
      </c>
      <c r="Y11" s="24">
        <f>SUM(P11,Q11,R11,S11)</f>
        <v>558.28536000000008</v>
      </c>
    </row>
    <row r="12" spans="1:25">
      <c r="A12" s="42" t="s">
        <v>33</v>
      </c>
      <c r="B12" s="20">
        <f t="shared" ref="B12:S12" si="2">SUM(B9:B11)</f>
        <v>922</v>
      </c>
      <c r="C12" s="20">
        <f t="shared" si="2"/>
        <v>1013</v>
      </c>
      <c r="D12" s="20">
        <f t="shared" si="2"/>
        <v>853</v>
      </c>
      <c r="E12" s="20">
        <f t="shared" si="2"/>
        <v>1055</v>
      </c>
      <c r="F12" s="20">
        <f t="shared" si="2"/>
        <v>836</v>
      </c>
      <c r="G12" s="20">
        <f t="shared" si="2"/>
        <v>846</v>
      </c>
      <c r="H12" s="20">
        <f t="shared" si="2"/>
        <v>786</v>
      </c>
      <c r="I12" s="20">
        <f t="shared" si="2"/>
        <v>891</v>
      </c>
      <c r="J12" s="20">
        <f t="shared" si="2"/>
        <v>817</v>
      </c>
      <c r="K12" s="20">
        <f t="shared" si="2"/>
        <v>914</v>
      </c>
      <c r="L12" s="20">
        <f t="shared" si="2"/>
        <v>769</v>
      </c>
      <c r="M12" s="20">
        <f t="shared" si="2"/>
        <v>798</v>
      </c>
      <c r="N12" s="20">
        <f t="shared" si="2"/>
        <v>780</v>
      </c>
      <c r="O12" s="20">
        <f t="shared" si="2"/>
        <v>941</v>
      </c>
      <c r="P12" s="49">
        <f t="shared" si="2"/>
        <v>975</v>
      </c>
      <c r="Q12" s="28">
        <f t="shared" si="2"/>
        <v>910.32321000000013</v>
      </c>
      <c r="R12" s="28">
        <f t="shared" si="2"/>
        <v>907.50659999999993</v>
      </c>
      <c r="S12" s="28">
        <f t="shared" si="2"/>
        <v>972.11950000000013</v>
      </c>
      <c r="T12" s="20"/>
      <c r="U12" s="20">
        <f>SUM(B12,C12,D12,E12)</f>
        <v>3843</v>
      </c>
      <c r="V12" s="20">
        <f>SUM(F12,G12,H12,I12)</f>
        <v>3359</v>
      </c>
      <c r="W12" s="20">
        <f>SUM(J12,K12,L12,M12)</f>
        <v>3298</v>
      </c>
      <c r="X12" s="20">
        <f>SUM(N12,O12,P12,Q12)</f>
        <v>3606.32321</v>
      </c>
      <c r="Y12" s="20">
        <f>SUM(P12,Q12,R12,S12)</f>
        <v>3764.9493100000004</v>
      </c>
    </row>
    <row r="13" spans="1:25">
      <c r="A13" s="42" t="s">
        <v>34</v>
      </c>
      <c r="B13" s="20">
        <f t="shared" ref="B13:S13" si="3">B7-B12</f>
        <v>-156</v>
      </c>
      <c r="C13" s="20">
        <f t="shared" si="3"/>
        <v>-247</v>
      </c>
      <c r="D13" s="20">
        <f t="shared" si="3"/>
        <v>32</v>
      </c>
      <c r="E13" s="20">
        <f t="shared" si="3"/>
        <v>-75</v>
      </c>
      <c r="F13" s="20">
        <f t="shared" si="3"/>
        <v>168</v>
      </c>
      <c r="G13" s="20">
        <f t="shared" si="3"/>
        <v>266</v>
      </c>
      <c r="H13" s="20">
        <f t="shared" si="3"/>
        <v>454</v>
      </c>
      <c r="I13" s="20">
        <f t="shared" si="3"/>
        <v>477</v>
      </c>
      <c r="J13" s="20">
        <f t="shared" si="3"/>
        <v>509</v>
      </c>
      <c r="K13" s="20">
        <f t="shared" si="3"/>
        <v>406</v>
      </c>
      <c r="L13" s="20">
        <f t="shared" si="3"/>
        <v>582</v>
      </c>
      <c r="M13" s="20">
        <f t="shared" si="3"/>
        <v>701</v>
      </c>
      <c r="N13" s="20">
        <f t="shared" si="3"/>
        <v>715</v>
      </c>
      <c r="O13" s="20">
        <f t="shared" si="3"/>
        <v>655</v>
      </c>
      <c r="P13" s="49">
        <f t="shared" si="3"/>
        <v>670</v>
      </c>
      <c r="Q13" s="28">
        <f t="shared" si="3"/>
        <v>734.29386000000011</v>
      </c>
      <c r="R13" s="28">
        <f t="shared" si="3"/>
        <v>727.99980000000028</v>
      </c>
      <c r="S13" s="28">
        <f t="shared" si="3"/>
        <v>756.6768000000003</v>
      </c>
      <c r="T13" s="20"/>
      <c r="U13" s="20">
        <f>SUM(B13,C13,D13,E13)</f>
        <v>-446</v>
      </c>
      <c r="V13" s="20">
        <f>SUM(F13,G13,H13,I13)</f>
        <v>1365</v>
      </c>
      <c r="W13" s="20">
        <f>SUM(J13,K13,L13,M13)</f>
        <v>2198</v>
      </c>
      <c r="X13" s="20">
        <f>SUM(N13,O13,P13,Q13)</f>
        <v>2774.2938600000002</v>
      </c>
      <c r="Y13" s="20">
        <f>SUM(P13,Q13,R13,S13)</f>
        <v>2888.9704600000005</v>
      </c>
    </row>
    <row r="14" spans="1:25">
      <c r="A14" s="41" t="s">
        <v>35</v>
      </c>
      <c r="B14" s="25">
        <f t="shared" ref="B14:S14" si="4">B13/B5</f>
        <v>-5.128205128205128E-2</v>
      </c>
      <c r="C14" s="25">
        <f t="shared" si="4"/>
        <v>-7.7746301542335541E-2</v>
      </c>
      <c r="D14" s="25">
        <f t="shared" si="4"/>
        <v>9.5323205242776286E-3</v>
      </c>
      <c r="E14" s="25">
        <f t="shared" si="4"/>
        <v>-2.0430400435848543E-2</v>
      </c>
      <c r="F14" s="25">
        <f t="shared" si="4"/>
        <v>4.6204620462046202E-2</v>
      </c>
      <c r="G14" s="25">
        <f t="shared" si="4"/>
        <v>6.9871289729445757E-2</v>
      </c>
      <c r="H14" s="25">
        <f t="shared" si="4"/>
        <v>0.11384152457372117</v>
      </c>
      <c r="I14" s="25">
        <f t="shared" si="4"/>
        <v>0.11244695898161244</v>
      </c>
      <c r="J14" s="25">
        <f t="shared" si="4"/>
        <v>0.12147971360381861</v>
      </c>
      <c r="K14" s="25">
        <f t="shared" si="4"/>
        <v>9.6828046744574292E-2</v>
      </c>
      <c r="L14" s="25">
        <f t="shared" si="4"/>
        <v>0.13623595505617977</v>
      </c>
      <c r="M14" s="25">
        <f t="shared" si="4"/>
        <v>0.1547119841094681</v>
      </c>
      <c r="N14" s="25">
        <f t="shared" si="4"/>
        <v>0.15773218619016105</v>
      </c>
      <c r="O14" s="25">
        <f t="shared" si="4"/>
        <v>0.13711534435838393</v>
      </c>
      <c r="P14" s="47">
        <f t="shared" si="4"/>
        <v>0.13400000000000001</v>
      </c>
      <c r="Q14" s="26">
        <f t="shared" si="4"/>
        <v>0.14599999999999999</v>
      </c>
      <c r="R14" s="26">
        <f t="shared" si="4"/>
        <v>0.14600000000000005</v>
      </c>
      <c r="S14" s="26">
        <f t="shared" si="4"/>
        <v>0.14400000000000004</v>
      </c>
      <c r="T14" s="25"/>
      <c r="U14" s="25">
        <f>U13/U5</f>
        <v>-3.3668000301955159E-2</v>
      </c>
      <c r="V14" s="25">
        <f>V13/V5</f>
        <v>8.7092451987494421E-2</v>
      </c>
      <c r="W14" s="25">
        <f>W13/W5</f>
        <v>0.12789479809146981</v>
      </c>
      <c r="X14" s="25">
        <f>X13/X5</f>
        <v>0.14345286955496575</v>
      </c>
      <c r="Y14" s="25">
        <f>Y13/Y5</f>
        <v>0.14252156024471141</v>
      </c>
    </row>
    <row r="15" spans="1:25">
      <c r="A15" s="41" t="s">
        <v>36</v>
      </c>
      <c r="B15" s="21">
        <v>27</v>
      </c>
      <c r="C15" s="21">
        <v>33</v>
      </c>
      <c r="D15" s="21">
        <v>55</v>
      </c>
      <c r="E15" s="22">
        <f>'Raw Numbers'!$B$12-SUM(B15:D15)</f>
        <v>46</v>
      </c>
      <c r="F15" s="21">
        <v>59</v>
      </c>
      <c r="G15" s="21">
        <v>76</v>
      </c>
      <c r="H15" s="21">
        <v>66</v>
      </c>
      <c r="I15" s="22">
        <f>'Raw Numbers'!$C$12-SUM(F15:H15)</f>
        <v>127</v>
      </c>
      <c r="J15" s="21">
        <v>71</v>
      </c>
      <c r="K15" s="21">
        <v>89</v>
      </c>
      <c r="L15" s="21">
        <v>262</v>
      </c>
      <c r="M15" s="22">
        <f>'Raw Numbers'!$D$12-SUM(J15:L15)</f>
        <v>-130</v>
      </c>
      <c r="N15" s="21">
        <v>248</v>
      </c>
      <c r="O15" s="21">
        <v>86</v>
      </c>
      <c r="P15" s="48">
        <f>(O40+O39)*Assumptions!B14/4</f>
        <v>82.14500000000001</v>
      </c>
      <c r="Q15" s="27">
        <f>(P40+P39)*Assumptions!C14/4</f>
        <v>86.82535242500002</v>
      </c>
      <c r="R15" s="27">
        <f>(Q40+Q39)*Assumptions!D14/4</f>
        <v>90.442360636865146</v>
      </c>
      <c r="S15" s="27">
        <f>(R40+R39)*Assumptions!E14/4</f>
        <v>93.479335702700894</v>
      </c>
      <c r="T15" s="24"/>
      <c r="U15" s="24">
        <f t="shared" ref="U15:U20" si="5">SUM(B15,C15,D15,E15)</f>
        <v>161</v>
      </c>
      <c r="V15" s="24">
        <f t="shared" ref="V15:V20" si="6">SUM(F15,G15,H15,I15)</f>
        <v>328</v>
      </c>
      <c r="W15" s="24">
        <f t="shared" ref="W15:W20" si="7">SUM(J15,K15,L15,M15)</f>
        <v>292</v>
      </c>
      <c r="X15" s="24">
        <f t="shared" ref="X15:X20" si="8">SUM(N15,O15,P15,Q15)</f>
        <v>502.97035242499999</v>
      </c>
      <c r="Y15" s="24">
        <f t="shared" ref="Y15:Y20" si="9">SUM(P15,Q15,R15,S15)</f>
        <v>352.89204876456608</v>
      </c>
    </row>
    <row r="16" spans="1:25">
      <c r="A16" s="41" t="s">
        <v>37</v>
      </c>
      <c r="B16" s="21">
        <v>-77</v>
      </c>
      <c r="C16" s="21">
        <v>-27</v>
      </c>
      <c r="D16" s="21">
        <v>-14</v>
      </c>
      <c r="E16" s="22">
        <f>'Raw Numbers'!$B$13-SUM(B16:D16)</f>
        <v>-102</v>
      </c>
      <c r="F16" s="21">
        <v>-53</v>
      </c>
      <c r="G16" s="21">
        <v>-72</v>
      </c>
      <c r="H16" s="21">
        <v>-122</v>
      </c>
      <c r="I16" s="22">
        <f>'Raw Numbers'!$C$13-SUM(F16:H16)</f>
        <v>-105</v>
      </c>
      <c r="J16" s="21">
        <v>-252</v>
      </c>
      <c r="K16" s="21">
        <v>-447</v>
      </c>
      <c r="L16" s="21">
        <v>-17</v>
      </c>
      <c r="M16" s="22">
        <f>'Raw Numbers'!$D$13-SUM(J16:L16)</f>
        <v>450</v>
      </c>
      <c r="N16" s="21">
        <v>-26</v>
      </c>
      <c r="O16" s="21">
        <v>-21</v>
      </c>
      <c r="P16" s="48">
        <f>-P5*Assumptions!B15</f>
        <v>-22.5</v>
      </c>
      <c r="Q16" s="27">
        <f>-Q5*Assumptions!C15</f>
        <v>-22.632345000000001</v>
      </c>
      <c r="R16" s="27">
        <f>-R5*Assumptions!D15</f>
        <v>-22.43835</v>
      </c>
      <c r="S16" s="27">
        <f>-S5*Assumptions!E15</f>
        <v>-23.646150000000002</v>
      </c>
      <c r="T16" s="24"/>
      <c r="U16" s="24">
        <f t="shared" si="5"/>
        <v>-220</v>
      </c>
      <c r="V16" s="24">
        <f t="shared" si="6"/>
        <v>-352</v>
      </c>
      <c r="W16" s="24">
        <f t="shared" si="7"/>
        <v>-266</v>
      </c>
      <c r="X16" s="24">
        <f t="shared" si="8"/>
        <v>-92.132345000000001</v>
      </c>
      <c r="Y16" s="24">
        <f t="shared" si="9"/>
        <v>-91.216845000000006</v>
      </c>
    </row>
    <row r="17" spans="1:25">
      <c r="A17" s="41" t="s">
        <v>38</v>
      </c>
      <c r="B17" s="24">
        <f t="shared" ref="B17:S17" si="10">SUM(B15:B16)</f>
        <v>-50</v>
      </c>
      <c r="C17" s="24">
        <f t="shared" si="10"/>
        <v>6</v>
      </c>
      <c r="D17" s="24">
        <f t="shared" si="10"/>
        <v>41</v>
      </c>
      <c r="E17" s="24">
        <f t="shared" si="10"/>
        <v>-56</v>
      </c>
      <c r="F17" s="24">
        <f t="shared" si="10"/>
        <v>6</v>
      </c>
      <c r="G17" s="24">
        <f t="shared" si="10"/>
        <v>4</v>
      </c>
      <c r="H17" s="24">
        <f t="shared" si="10"/>
        <v>-56</v>
      </c>
      <c r="I17" s="24">
        <f t="shared" si="10"/>
        <v>22</v>
      </c>
      <c r="J17" s="24">
        <f t="shared" si="10"/>
        <v>-181</v>
      </c>
      <c r="K17" s="24">
        <f t="shared" si="10"/>
        <v>-358</v>
      </c>
      <c r="L17" s="24">
        <f t="shared" si="10"/>
        <v>245</v>
      </c>
      <c r="M17" s="24">
        <f t="shared" si="10"/>
        <v>320</v>
      </c>
      <c r="N17" s="24">
        <f t="shared" si="10"/>
        <v>222</v>
      </c>
      <c r="O17" s="24">
        <f t="shared" si="10"/>
        <v>65</v>
      </c>
      <c r="P17" s="46">
        <f t="shared" si="10"/>
        <v>59.64500000000001</v>
      </c>
      <c r="Q17" s="23">
        <f t="shared" si="10"/>
        <v>64.193007425000019</v>
      </c>
      <c r="R17" s="23">
        <f t="shared" si="10"/>
        <v>68.004010636865146</v>
      </c>
      <c r="S17" s="23">
        <f t="shared" si="10"/>
        <v>69.833185702700888</v>
      </c>
      <c r="T17" s="24"/>
      <c r="U17" s="24">
        <f t="shared" si="5"/>
        <v>-59</v>
      </c>
      <c r="V17" s="24">
        <f t="shared" si="6"/>
        <v>-24</v>
      </c>
      <c r="W17" s="24">
        <f t="shared" si="7"/>
        <v>26</v>
      </c>
      <c r="X17" s="24">
        <f t="shared" si="8"/>
        <v>410.838007425</v>
      </c>
      <c r="Y17" s="24">
        <f t="shared" si="9"/>
        <v>261.67520376456605</v>
      </c>
    </row>
    <row r="18" spans="1:25">
      <c r="A18" s="41" t="s">
        <v>39</v>
      </c>
      <c r="B18" s="24">
        <f t="shared" ref="B18:S18" si="11">B13+B17</f>
        <v>-206</v>
      </c>
      <c r="C18" s="24">
        <f t="shared" si="11"/>
        <v>-241</v>
      </c>
      <c r="D18" s="24">
        <f t="shared" si="11"/>
        <v>73</v>
      </c>
      <c r="E18" s="24">
        <f t="shared" si="11"/>
        <v>-131</v>
      </c>
      <c r="F18" s="24">
        <f t="shared" si="11"/>
        <v>174</v>
      </c>
      <c r="G18" s="24">
        <f t="shared" si="11"/>
        <v>270</v>
      </c>
      <c r="H18" s="24">
        <f t="shared" si="11"/>
        <v>398</v>
      </c>
      <c r="I18" s="24">
        <f t="shared" si="11"/>
        <v>499</v>
      </c>
      <c r="J18" s="24">
        <f t="shared" si="11"/>
        <v>328</v>
      </c>
      <c r="K18" s="24">
        <f t="shared" si="11"/>
        <v>48</v>
      </c>
      <c r="L18" s="24">
        <f t="shared" si="11"/>
        <v>827</v>
      </c>
      <c r="M18" s="24">
        <f t="shared" si="11"/>
        <v>1021</v>
      </c>
      <c r="N18" s="24">
        <f t="shared" si="11"/>
        <v>937</v>
      </c>
      <c r="O18" s="24">
        <f t="shared" si="11"/>
        <v>720</v>
      </c>
      <c r="P18" s="46">
        <f t="shared" si="11"/>
        <v>729.64499999999998</v>
      </c>
      <c r="Q18" s="23">
        <f t="shared" si="11"/>
        <v>798.48686742500013</v>
      </c>
      <c r="R18" s="23">
        <f t="shared" si="11"/>
        <v>796.00381063686541</v>
      </c>
      <c r="S18" s="23">
        <f t="shared" si="11"/>
        <v>826.50998570270121</v>
      </c>
      <c r="T18" s="24"/>
      <c r="U18" s="24">
        <f t="shared" si="5"/>
        <v>-505</v>
      </c>
      <c r="V18" s="24">
        <f t="shared" si="6"/>
        <v>1341</v>
      </c>
      <c r="W18" s="24">
        <f t="shared" si="7"/>
        <v>2224</v>
      </c>
      <c r="X18" s="24">
        <f t="shared" si="8"/>
        <v>3185.1318674250001</v>
      </c>
      <c r="Y18" s="24">
        <f t="shared" si="9"/>
        <v>3150.6456637645665</v>
      </c>
    </row>
    <row r="19" spans="1:25">
      <c r="A19" s="41" t="s">
        <v>40</v>
      </c>
      <c r="B19" s="21">
        <v>19</v>
      </c>
      <c r="C19" s="21">
        <v>61</v>
      </c>
      <c r="D19" s="21">
        <v>8</v>
      </c>
      <c r="E19" s="22">
        <f>'Raw Numbers'!$B$16-SUM(B19:D19)</f>
        <v>-61</v>
      </c>
      <c r="F19" s="21">
        <v>-23</v>
      </c>
      <c r="G19" s="21">
        <v>-4</v>
      </c>
      <c r="H19" s="21">
        <v>98</v>
      </c>
      <c r="I19" s="22">
        <f>'Raw Numbers'!$C$16-SUM(F19:H19)</f>
        <v>132</v>
      </c>
      <c r="J19" s="21">
        <v>103</v>
      </c>
      <c r="K19" s="21">
        <v>134</v>
      </c>
      <c r="L19" s="21">
        <v>-72</v>
      </c>
      <c r="M19" s="22">
        <f>'Raw Numbers'!$D$16-SUM(J19:L19)</f>
        <v>-153</v>
      </c>
      <c r="N19" s="21">
        <v>216</v>
      </c>
      <c r="O19" s="21">
        <v>175</v>
      </c>
      <c r="P19" s="48">
        <f>MAX(0,P18*Assumptions!B16)</f>
        <v>175.1148</v>
      </c>
      <c r="Q19" s="27">
        <f>MAX(0,Q18*Assumptions!C16)</f>
        <v>191.63684818200002</v>
      </c>
      <c r="R19" s="27">
        <f>MAX(0,R18*Assumptions!D16)</f>
        <v>191.04091455284768</v>
      </c>
      <c r="S19" s="27">
        <f>MAX(0,S18*Assumptions!E16)</f>
        <v>198.36239656864828</v>
      </c>
      <c r="T19" s="24"/>
      <c r="U19" s="24">
        <f t="shared" si="5"/>
        <v>27</v>
      </c>
      <c r="V19" s="24">
        <f t="shared" si="6"/>
        <v>203</v>
      </c>
      <c r="W19" s="24">
        <f t="shared" si="7"/>
        <v>12</v>
      </c>
      <c r="X19" s="24">
        <f t="shared" si="8"/>
        <v>757.75164818200005</v>
      </c>
      <c r="Y19" s="24">
        <f t="shared" si="9"/>
        <v>756.15495930349596</v>
      </c>
    </row>
    <row r="20" spans="1:25">
      <c r="A20" s="42" t="s">
        <v>41</v>
      </c>
      <c r="B20" s="20">
        <f t="shared" ref="B20:S20" si="12">B18-B19</f>
        <v>-225</v>
      </c>
      <c r="C20" s="20">
        <f t="shared" si="12"/>
        <v>-302</v>
      </c>
      <c r="D20" s="20">
        <f t="shared" si="12"/>
        <v>65</v>
      </c>
      <c r="E20" s="18">
        <f t="shared" si="12"/>
        <v>-70</v>
      </c>
      <c r="F20" s="20">
        <f t="shared" si="12"/>
        <v>197</v>
      </c>
      <c r="G20" s="20">
        <f t="shared" si="12"/>
        <v>274</v>
      </c>
      <c r="H20" s="20">
        <f t="shared" si="12"/>
        <v>300</v>
      </c>
      <c r="I20" s="18">
        <f t="shared" si="12"/>
        <v>367</v>
      </c>
      <c r="J20" s="20">
        <f t="shared" si="12"/>
        <v>225</v>
      </c>
      <c r="K20" s="20">
        <f t="shared" si="12"/>
        <v>-86</v>
      </c>
      <c r="L20" s="20">
        <f t="shared" si="12"/>
        <v>899</v>
      </c>
      <c r="M20" s="18">
        <f t="shared" si="12"/>
        <v>1174</v>
      </c>
      <c r="N20" s="20">
        <f t="shared" si="12"/>
        <v>721</v>
      </c>
      <c r="O20" s="20">
        <f t="shared" si="12"/>
        <v>545</v>
      </c>
      <c r="P20" s="49">
        <f t="shared" si="12"/>
        <v>554.53019999999992</v>
      </c>
      <c r="Q20" s="28">
        <f t="shared" si="12"/>
        <v>606.85001924300013</v>
      </c>
      <c r="R20" s="28">
        <f t="shared" si="12"/>
        <v>604.96289608401776</v>
      </c>
      <c r="S20" s="28">
        <f t="shared" si="12"/>
        <v>628.14758913405296</v>
      </c>
      <c r="T20" s="20"/>
      <c r="U20" s="20">
        <f t="shared" si="5"/>
        <v>-532</v>
      </c>
      <c r="V20" s="20">
        <f t="shared" si="6"/>
        <v>1138</v>
      </c>
      <c r="W20" s="20">
        <f t="shared" si="7"/>
        <v>2212</v>
      </c>
      <c r="X20" s="20">
        <f t="shared" si="8"/>
        <v>2427.3802192430003</v>
      </c>
      <c r="Y20" s="20">
        <f t="shared" si="9"/>
        <v>2394.4907044610709</v>
      </c>
    </row>
    <row r="21" spans="1:25">
      <c r="A21" s="41" t="s">
        <v>42</v>
      </c>
      <c r="B21" s="29">
        <v>-1.1599999999999999</v>
      </c>
      <c r="C21" s="29">
        <v>-1.55</v>
      </c>
      <c r="D21" s="29">
        <v>0.33</v>
      </c>
      <c r="E21" s="30">
        <f>E20/E23</f>
        <v>-0.35702463280743324</v>
      </c>
      <c r="F21" s="29">
        <v>0.99</v>
      </c>
      <c r="G21" s="29">
        <v>1.37</v>
      </c>
      <c r="H21" s="29">
        <v>1.49</v>
      </c>
      <c r="I21" s="30">
        <f>I20/I23</f>
        <v>1.8085065010338839</v>
      </c>
      <c r="J21" s="29">
        <v>1.1000000000000001</v>
      </c>
      <c r="K21" s="29">
        <v>-0.42</v>
      </c>
      <c r="L21" s="29">
        <v>4.3600000000000003</v>
      </c>
      <c r="M21" s="30">
        <f>M20/M23</f>
        <v>5.7047789341309603</v>
      </c>
      <c r="N21" s="29">
        <v>3.5</v>
      </c>
      <c r="O21" s="29">
        <v>2.65</v>
      </c>
      <c r="P21" s="50">
        <f>P20/P23</f>
        <v>2.694664171797843</v>
      </c>
      <c r="Q21" s="31">
        <f>Q20/Q23</f>
        <v>2.948905225556596</v>
      </c>
      <c r="R21" s="31">
        <f>R20/R23</f>
        <v>2.9397350069386023</v>
      </c>
      <c r="S21" s="31">
        <f>S20/S23</f>
        <v>3.0523978730837831</v>
      </c>
      <c r="T21" s="30"/>
      <c r="U21" s="32">
        <f>'Raw Numbers'!$B$18</f>
        <v>-2.73</v>
      </c>
      <c r="V21" s="32">
        <f>'Raw Numbers'!$C$18</f>
        <v>5.67</v>
      </c>
      <c r="W21" s="32">
        <f>'Raw Numbers'!$D$18</f>
        <v>10.77</v>
      </c>
      <c r="X21" s="30">
        <f>X20/X23</f>
        <v>11.796547462717113</v>
      </c>
      <c r="Y21" s="30">
        <f>Y20/Y23</f>
        <v>11.635702277376826</v>
      </c>
    </row>
    <row r="22" spans="1:25">
      <c r="A22" s="41" t="s">
        <v>43</v>
      </c>
      <c r="B22" s="29">
        <v>-1.1599999999999999</v>
      </c>
      <c r="C22" s="29">
        <v>-1.55</v>
      </c>
      <c r="D22" s="29">
        <v>0.33</v>
      </c>
      <c r="E22" s="30">
        <f>IF(E20&lt;0,E21,E20/E24)</f>
        <v>-0.35702463280743324</v>
      </c>
      <c r="F22" s="29">
        <v>0.97</v>
      </c>
      <c r="G22" s="29">
        <v>1.33</v>
      </c>
      <c r="H22" s="29">
        <v>1.45</v>
      </c>
      <c r="I22" s="30">
        <f>IF(I20&lt;0,I21,I20/I24)</f>
        <v>1.7420686427164886</v>
      </c>
      <c r="J22" s="29">
        <v>1.07</v>
      </c>
      <c r="K22" s="29">
        <v>-0.42</v>
      </c>
      <c r="L22" s="29">
        <v>3.28</v>
      </c>
      <c r="M22" s="30">
        <f>IF(M20&lt;0,M21,M20/M24)</f>
        <v>5.5227182235776962</v>
      </c>
      <c r="N22" s="29">
        <v>3.45</v>
      </c>
      <c r="O22" s="29">
        <v>2.61</v>
      </c>
      <c r="P22" s="50">
        <f>P20/P24</f>
        <v>2.6546740847896744</v>
      </c>
      <c r="Q22" s="31">
        <f>Q20/Q24</f>
        <v>2.9051420814204669</v>
      </c>
      <c r="R22" s="31">
        <f>R20/R24</f>
        <v>2.8961079531710823</v>
      </c>
      <c r="S22" s="31">
        <f>S20/S24</f>
        <v>3.0070988492552484</v>
      </c>
      <c r="T22" s="30"/>
      <c r="U22" s="32">
        <f>'Raw Numbers'!$B$19</f>
        <v>-2.73</v>
      </c>
      <c r="V22" s="32">
        <f>'Raw Numbers'!$C$19</f>
        <v>5.5</v>
      </c>
      <c r="W22" s="32">
        <f>'Raw Numbers'!$D$19</f>
        <v>10.51</v>
      </c>
      <c r="X22" s="30">
        <f>X20/X24</f>
        <v>11.615434859762125</v>
      </c>
      <c r="Y22" s="30">
        <f>Y20/Y24</f>
        <v>11.463022968636473</v>
      </c>
    </row>
    <row r="23" spans="1:25">
      <c r="A23" s="41" t="s">
        <v>44</v>
      </c>
      <c r="B23" s="33">
        <v>193.56246200000001</v>
      </c>
      <c r="C23" s="33">
        <v>194.42012800000001</v>
      </c>
      <c r="D23" s="33">
        <v>194.88172299999999</v>
      </c>
      <c r="E23" s="34">
        <f>4*'Raw Numbers'!$B$20-SUM(B23:D23)</f>
        <v>196.06490299999996</v>
      </c>
      <c r="F23" s="33">
        <v>198.02545599999999</v>
      </c>
      <c r="G23" s="33">
        <v>199.959172</v>
      </c>
      <c r="H23" s="33">
        <v>201.575568</v>
      </c>
      <c r="I23" s="34">
        <f>4*'Raw Numbers'!$C$20-SUM(F23:H23)</f>
        <v>202.92987600000004</v>
      </c>
      <c r="J23" s="33">
        <v>204.467927</v>
      </c>
      <c r="K23" s="33">
        <v>205.426999</v>
      </c>
      <c r="L23" s="33">
        <v>205.96450400000001</v>
      </c>
      <c r="M23" s="34">
        <f>4*'Raw Numbers'!$D$20-SUM(J23:L23)</f>
        <v>205.792374</v>
      </c>
      <c r="N23" s="33">
        <v>205.71685299999999</v>
      </c>
      <c r="O23" s="33">
        <v>205.788241</v>
      </c>
      <c r="P23" s="51">
        <f>O23+Assumptions!B17</f>
        <v>205.788241</v>
      </c>
      <c r="Q23" s="35">
        <f>P23+Assumptions!C17</f>
        <v>205.788241</v>
      </c>
      <c r="R23" s="35">
        <f>Q23+Assumptions!D17</f>
        <v>205.788241</v>
      </c>
      <c r="S23" s="35">
        <f>R23+Assumptions!E17</f>
        <v>205.788241</v>
      </c>
      <c r="T23" s="36"/>
      <c r="U23" s="34">
        <f>'Raw Numbers'!$B$20</f>
        <v>194.732304</v>
      </c>
      <c r="V23" s="34">
        <f>'Raw Numbers'!$C$20</f>
        <v>200.62251800000001</v>
      </c>
      <c r="W23" s="34">
        <f>'Raw Numbers'!$D$20</f>
        <v>205.41295099999999</v>
      </c>
      <c r="X23" s="36">
        <f>AVERAGE(N23,O23,P23,Q23)</f>
        <v>205.77039399999998</v>
      </c>
      <c r="Y23" s="36">
        <f>AVERAGE(P23,Q23,R23,S23)</f>
        <v>205.788241</v>
      </c>
    </row>
    <row r="24" spans="1:25">
      <c r="A24" s="41" t="s">
        <v>45</v>
      </c>
      <c r="B24" s="33">
        <v>193.56246200000001</v>
      </c>
      <c r="C24" s="33">
        <v>194.42012800000001</v>
      </c>
      <c r="D24" s="33">
        <v>198.01236900000001</v>
      </c>
      <c r="E24" s="34">
        <f>E23</f>
        <v>196.06490299999996</v>
      </c>
      <c r="F24" s="33">
        <v>203.773043</v>
      </c>
      <c r="G24" s="33">
        <v>206.11985100000001</v>
      </c>
      <c r="H24" s="33">
        <v>207.39950099999999</v>
      </c>
      <c r="I24" s="34">
        <f>4*'Raw Numbers'!$C$21-SUM(F24:H24)</f>
        <v>210.66908100000001</v>
      </c>
      <c r="J24" s="33">
        <v>210.24347800000001</v>
      </c>
      <c r="K24" s="33">
        <v>205.426999</v>
      </c>
      <c r="L24" s="33">
        <v>213.78973500000001</v>
      </c>
      <c r="M24" s="34">
        <f>4*'Raw Numbers'!$D$21-SUM(J24:L24)</f>
        <v>212.57648000000006</v>
      </c>
      <c r="N24" s="33">
        <v>209.280449</v>
      </c>
      <c r="O24" s="33">
        <v>208.85846900000001</v>
      </c>
      <c r="P24" s="51">
        <f>P23+Assumptions!B18</f>
        <v>208.88824099999999</v>
      </c>
      <c r="Q24" s="35">
        <f>Q23+Assumptions!C18</f>
        <v>208.88824099999999</v>
      </c>
      <c r="R24" s="35">
        <f>R23+Assumptions!D18</f>
        <v>208.88824099999999</v>
      </c>
      <c r="S24" s="35">
        <f>S23+Assumptions!E18</f>
        <v>208.88824099999999</v>
      </c>
      <c r="T24" s="36"/>
      <c r="U24" s="34">
        <f>'Raw Numbers'!$B$21</f>
        <v>194.732304</v>
      </c>
      <c r="V24" s="34">
        <f>'Raw Numbers'!$C$21</f>
        <v>206.99036899999999</v>
      </c>
      <c r="W24" s="34">
        <f>'Raw Numbers'!$D$21</f>
        <v>210.509173</v>
      </c>
      <c r="X24" s="36">
        <f>AVERAGE(N24,O24,P24,Q24)</f>
        <v>208.97884999999999</v>
      </c>
      <c r="Y24" s="36">
        <f>AVERAGE(P24,Q24,R24,S24)</f>
        <v>208.88824099999999</v>
      </c>
    </row>
    <row r="25" spans="1:25">
      <c r="A25" s="41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44"/>
      <c r="Q25" s="16"/>
      <c r="R25" s="16"/>
      <c r="S25" s="16"/>
      <c r="T25" s="15"/>
      <c r="U25" s="15"/>
      <c r="V25" s="15"/>
      <c r="W25" s="15"/>
      <c r="X25" s="15"/>
      <c r="Y25" s="15"/>
    </row>
    <row r="26" spans="1:25">
      <c r="A26" s="4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44"/>
      <c r="Q26" s="16"/>
      <c r="R26" s="16"/>
      <c r="S26" s="16"/>
      <c r="T26" s="15"/>
      <c r="U26" s="15"/>
      <c r="V26" s="15"/>
      <c r="W26" s="15"/>
      <c r="X26" s="15"/>
      <c r="Y26" s="15"/>
    </row>
    <row r="27" spans="1:25" ht="32" customHeight="1">
      <c r="A27" s="107" t="s">
        <v>46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9"/>
      <c r="Q27" s="110"/>
      <c r="R27" s="110"/>
      <c r="S27" s="110"/>
      <c r="T27" s="108"/>
      <c r="U27" s="108"/>
      <c r="V27" s="108"/>
      <c r="W27" s="108"/>
      <c r="X27" s="108"/>
      <c r="Y27" s="108"/>
    </row>
    <row r="28" spans="1:25">
      <c r="A28" s="41" t="s">
        <v>47</v>
      </c>
      <c r="B28" s="21">
        <v>413</v>
      </c>
      <c r="C28" s="21">
        <v>344</v>
      </c>
      <c r="D28" s="21">
        <v>343</v>
      </c>
      <c r="E28" s="21">
        <v>300</v>
      </c>
      <c r="F28" s="21">
        <v>274</v>
      </c>
      <c r="G28" s="21">
        <v>254</v>
      </c>
      <c r="H28" s="21">
        <v>235</v>
      </c>
      <c r="I28" s="21">
        <v>226</v>
      </c>
      <c r="J28" s="21">
        <v>223</v>
      </c>
      <c r="K28" s="21">
        <v>256</v>
      </c>
      <c r="L28" s="21">
        <v>242</v>
      </c>
      <c r="M28" s="21">
        <v>234</v>
      </c>
      <c r="N28" s="21">
        <v>227</v>
      </c>
      <c r="O28" s="21">
        <v>225</v>
      </c>
      <c r="P28" s="46">
        <f>O28*(1+Assumptions!B29)</f>
        <v>222.75</v>
      </c>
      <c r="Q28" s="23">
        <f>P28*(1+Assumptions!C29)</f>
        <v>220.52250000000001</v>
      </c>
      <c r="R28" s="23">
        <f>Q28*(1+Assumptions!D29)</f>
        <v>218.317275</v>
      </c>
      <c r="S28" s="23">
        <f>R28*(1+Assumptions!E29)</f>
        <v>216.13410224999998</v>
      </c>
      <c r="T28" s="24"/>
      <c r="U28" s="24">
        <f t="shared" ref="U28:U66" si="13">E28</f>
        <v>300</v>
      </c>
      <c r="V28" s="24">
        <f t="shared" ref="V28:V66" si="14">I28</f>
        <v>226</v>
      </c>
      <c r="W28" s="24">
        <f t="shared" ref="W28:W66" si="15">M28</f>
        <v>234</v>
      </c>
      <c r="X28" s="24">
        <f t="shared" ref="X28:X66" si="16">Q28</f>
        <v>220.52250000000001</v>
      </c>
      <c r="Y28" s="24">
        <f t="shared" ref="Y28:Y66" si="17">S28</f>
        <v>216.13410224999998</v>
      </c>
    </row>
    <row r="29" spans="1:25">
      <c r="A29" s="41" t="s">
        <v>48</v>
      </c>
      <c r="B29" s="21">
        <v>331</v>
      </c>
      <c r="C29" s="21">
        <v>280</v>
      </c>
      <c r="D29" s="21">
        <v>275</v>
      </c>
      <c r="E29" s="21">
        <v>247</v>
      </c>
      <c r="F29" s="21">
        <v>224</v>
      </c>
      <c r="G29" s="21">
        <v>211</v>
      </c>
      <c r="H29" s="21">
        <v>195</v>
      </c>
      <c r="I29" s="21">
        <v>188</v>
      </c>
      <c r="J29" s="21">
        <v>178</v>
      </c>
      <c r="K29" s="21">
        <v>161</v>
      </c>
      <c r="L29" s="21">
        <v>174</v>
      </c>
      <c r="M29" s="21">
        <v>188</v>
      </c>
      <c r="N29" s="21">
        <v>182</v>
      </c>
      <c r="O29" s="21">
        <v>193</v>
      </c>
      <c r="P29" s="46">
        <f>MAX(0,O29-P71*0.45-P90)</f>
        <v>209.25</v>
      </c>
      <c r="Q29" s="23">
        <f>MAX(0,P29-Q71*0.45-Q90)</f>
        <v>225.59558250000001</v>
      </c>
      <c r="R29" s="23">
        <f>MAX(0,Q29-R71*0.45-R90)</f>
        <v>241.80105750000001</v>
      </c>
      <c r="S29" s="23">
        <f>MAX(0,R29-S71*0.45-S90)</f>
        <v>258.87883249999999</v>
      </c>
      <c r="T29" s="24"/>
      <c r="U29" s="24">
        <f t="shared" si="13"/>
        <v>247</v>
      </c>
      <c r="V29" s="24">
        <f t="shared" si="14"/>
        <v>188</v>
      </c>
      <c r="W29" s="24">
        <f t="shared" si="15"/>
        <v>188</v>
      </c>
      <c r="X29" s="24">
        <f t="shared" si="16"/>
        <v>225.59558250000001</v>
      </c>
      <c r="Y29" s="24">
        <f t="shared" si="17"/>
        <v>258.87883249999999</v>
      </c>
    </row>
    <row r="30" spans="1:25">
      <c r="A30" s="41" t="s">
        <v>49</v>
      </c>
      <c r="B30" s="21">
        <v>1155</v>
      </c>
      <c r="C30" s="21">
        <v>1148</v>
      </c>
      <c r="D30" s="21">
        <v>1180</v>
      </c>
      <c r="E30" s="21">
        <v>1137</v>
      </c>
      <c r="F30" s="21">
        <v>1159</v>
      </c>
      <c r="G30" s="21">
        <v>1167</v>
      </c>
      <c r="H30" s="21">
        <v>1128</v>
      </c>
      <c r="I30" s="21">
        <v>1201</v>
      </c>
      <c r="J30" s="21">
        <v>1156</v>
      </c>
      <c r="K30" s="21">
        <v>1074</v>
      </c>
      <c r="L30" s="21">
        <v>1078</v>
      </c>
      <c r="M30" s="21">
        <v>1083</v>
      </c>
      <c r="N30" s="21">
        <v>1099</v>
      </c>
      <c r="O30" s="21">
        <v>1110</v>
      </c>
      <c r="P30" s="46">
        <f>O30</f>
        <v>1110</v>
      </c>
      <c r="Q30" s="23">
        <f>P30</f>
        <v>1110</v>
      </c>
      <c r="R30" s="23">
        <f>Q30</f>
        <v>1110</v>
      </c>
      <c r="S30" s="23">
        <f>R30</f>
        <v>1110</v>
      </c>
      <c r="T30" s="24"/>
      <c r="U30" s="24">
        <f t="shared" si="13"/>
        <v>1137</v>
      </c>
      <c r="V30" s="24">
        <f t="shared" si="14"/>
        <v>1201</v>
      </c>
      <c r="W30" s="24">
        <f t="shared" si="15"/>
        <v>1083</v>
      </c>
      <c r="X30" s="24">
        <f t="shared" si="16"/>
        <v>1110</v>
      </c>
      <c r="Y30" s="24">
        <f t="shared" si="17"/>
        <v>1110</v>
      </c>
    </row>
    <row r="31" spans="1:25">
      <c r="A31" s="41" t="s">
        <v>50</v>
      </c>
      <c r="B31" s="21">
        <v>115</v>
      </c>
      <c r="C31" s="21">
        <v>105</v>
      </c>
      <c r="D31" s="21">
        <v>98</v>
      </c>
      <c r="E31" s="21">
        <v>84</v>
      </c>
      <c r="F31" s="21">
        <v>76</v>
      </c>
      <c r="G31" s="21">
        <v>68</v>
      </c>
      <c r="H31" s="21">
        <v>58</v>
      </c>
      <c r="I31" s="21">
        <v>48</v>
      </c>
      <c r="J31" s="21">
        <v>43</v>
      </c>
      <c r="K31" s="21">
        <v>37</v>
      </c>
      <c r="L31" s="21">
        <v>33</v>
      </c>
      <c r="M31" s="21">
        <v>41</v>
      </c>
      <c r="N31" s="21">
        <v>41</v>
      </c>
      <c r="O31" s="21">
        <v>36</v>
      </c>
      <c r="P31" s="46">
        <f>MAX(0,O31-P72)</f>
        <v>31</v>
      </c>
      <c r="Q31" s="23">
        <f>MAX(0,P31-Q72)</f>
        <v>25.970589999999998</v>
      </c>
      <c r="R31" s="23">
        <f>MAX(0,Q31-R72)</f>
        <v>20.984289999999998</v>
      </c>
      <c r="S31" s="23">
        <f>MAX(0,R31-S72)</f>
        <v>15.729589999999998</v>
      </c>
      <c r="T31" s="24"/>
      <c r="U31" s="24">
        <f t="shared" si="13"/>
        <v>84</v>
      </c>
      <c r="V31" s="24">
        <f t="shared" si="14"/>
        <v>48</v>
      </c>
      <c r="W31" s="24">
        <f t="shared" si="15"/>
        <v>41</v>
      </c>
      <c r="X31" s="24">
        <f t="shared" si="16"/>
        <v>25.970589999999998</v>
      </c>
      <c r="Y31" s="24">
        <f t="shared" si="17"/>
        <v>15.729589999999998</v>
      </c>
    </row>
    <row r="32" spans="1:25">
      <c r="A32" s="41" t="s">
        <v>51</v>
      </c>
      <c r="B32" s="21">
        <v>1134</v>
      </c>
      <c r="C32" s="21">
        <v>1015</v>
      </c>
      <c r="D32" s="21">
        <v>903</v>
      </c>
      <c r="E32" s="21">
        <v>1215</v>
      </c>
      <c r="F32" s="21">
        <v>1534</v>
      </c>
      <c r="G32" s="21">
        <v>1931</v>
      </c>
      <c r="H32" s="21">
        <v>1604</v>
      </c>
      <c r="I32" s="21">
        <v>1635</v>
      </c>
      <c r="J32" s="21">
        <v>1958</v>
      </c>
      <c r="K32" s="21">
        <v>2417</v>
      </c>
      <c r="L32" s="21">
        <v>2888</v>
      </c>
      <c r="M32" s="21">
        <v>2181</v>
      </c>
      <c r="N32" s="21">
        <v>1194</v>
      </c>
      <c r="O32" s="21">
        <v>1118</v>
      </c>
      <c r="P32" s="46">
        <f t="shared" ref="P32:S35" si="18">O32</f>
        <v>1118</v>
      </c>
      <c r="Q32" s="23">
        <f t="shared" si="18"/>
        <v>1118</v>
      </c>
      <c r="R32" s="23">
        <f t="shared" si="18"/>
        <v>1118</v>
      </c>
      <c r="S32" s="23">
        <f t="shared" si="18"/>
        <v>1118</v>
      </c>
      <c r="T32" s="24"/>
      <c r="U32" s="24">
        <f t="shared" si="13"/>
        <v>1215</v>
      </c>
      <c r="V32" s="24">
        <f t="shared" si="14"/>
        <v>1635</v>
      </c>
      <c r="W32" s="24">
        <f t="shared" si="15"/>
        <v>2181</v>
      </c>
      <c r="X32" s="24">
        <f t="shared" si="16"/>
        <v>1118</v>
      </c>
      <c r="Y32" s="24">
        <f t="shared" si="17"/>
        <v>1118</v>
      </c>
    </row>
    <row r="33" spans="1:25">
      <c r="A33" s="41" t="s">
        <v>52</v>
      </c>
      <c r="B33" s="21">
        <v>77</v>
      </c>
      <c r="C33" s="21">
        <v>76</v>
      </c>
      <c r="D33" s="21">
        <v>75</v>
      </c>
      <c r="E33" s="21">
        <v>75</v>
      </c>
      <c r="F33" s="21">
        <v>72</v>
      </c>
      <c r="G33" s="21">
        <v>70</v>
      </c>
      <c r="H33" s="21">
        <v>72</v>
      </c>
      <c r="I33" s="21">
        <v>68</v>
      </c>
      <c r="J33" s="21">
        <v>65</v>
      </c>
      <c r="K33" s="21">
        <v>59</v>
      </c>
      <c r="L33" s="21">
        <v>61</v>
      </c>
      <c r="M33" s="21">
        <v>61</v>
      </c>
      <c r="N33" s="21">
        <v>59</v>
      </c>
      <c r="O33" s="21">
        <v>56</v>
      </c>
      <c r="P33" s="46">
        <f t="shared" si="18"/>
        <v>56</v>
      </c>
      <c r="Q33" s="23">
        <f t="shared" si="18"/>
        <v>56</v>
      </c>
      <c r="R33" s="23">
        <f t="shared" si="18"/>
        <v>56</v>
      </c>
      <c r="S33" s="23">
        <f t="shared" si="18"/>
        <v>56</v>
      </c>
      <c r="T33" s="24"/>
      <c r="U33" s="24">
        <f t="shared" si="13"/>
        <v>75</v>
      </c>
      <c r="V33" s="24">
        <f t="shared" si="14"/>
        <v>68</v>
      </c>
      <c r="W33" s="24">
        <f t="shared" si="15"/>
        <v>61</v>
      </c>
      <c r="X33" s="24">
        <f t="shared" si="16"/>
        <v>56</v>
      </c>
      <c r="Y33" s="24">
        <f t="shared" si="17"/>
        <v>56</v>
      </c>
    </row>
    <row r="34" spans="1:25">
      <c r="A34" s="41" t="s">
        <v>53</v>
      </c>
      <c r="B34" s="21">
        <v>0</v>
      </c>
      <c r="C34" s="21">
        <v>0</v>
      </c>
      <c r="D34" s="21">
        <v>0</v>
      </c>
      <c r="E34" s="21">
        <v>0</v>
      </c>
      <c r="F34" s="21">
        <v>51</v>
      </c>
      <c r="G34" s="21">
        <v>52</v>
      </c>
      <c r="H34" s="21">
        <v>64</v>
      </c>
      <c r="I34" s="21">
        <v>74</v>
      </c>
      <c r="J34" s="21">
        <v>74</v>
      </c>
      <c r="K34" s="21">
        <v>68</v>
      </c>
      <c r="L34" s="21">
        <v>69</v>
      </c>
      <c r="M34" s="21">
        <v>69</v>
      </c>
      <c r="N34" s="21">
        <v>71</v>
      </c>
      <c r="O34" s="21">
        <v>71</v>
      </c>
      <c r="P34" s="46">
        <f t="shared" si="18"/>
        <v>71</v>
      </c>
      <c r="Q34" s="23">
        <f t="shared" si="18"/>
        <v>71</v>
      </c>
      <c r="R34" s="23">
        <f t="shared" si="18"/>
        <v>71</v>
      </c>
      <c r="S34" s="23">
        <f t="shared" si="18"/>
        <v>71</v>
      </c>
      <c r="T34" s="24"/>
      <c r="U34" s="24">
        <f t="shared" si="13"/>
        <v>0</v>
      </c>
      <c r="V34" s="24">
        <f t="shared" si="14"/>
        <v>74</v>
      </c>
      <c r="W34" s="24">
        <f t="shared" si="15"/>
        <v>69</v>
      </c>
      <c r="X34" s="24">
        <f t="shared" si="16"/>
        <v>71</v>
      </c>
      <c r="Y34" s="24">
        <f t="shared" si="17"/>
        <v>71</v>
      </c>
    </row>
    <row r="35" spans="1:25">
      <c r="A35" s="41" t="s">
        <v>54</v>
      </c>
      <c r="B35" s="21">
        <v>11</v>
      </c>
      <c r="C35" s="21">
        <v>15</v>
      </c>
      <c r="D35" s="21">
        <v>23</v>
      </c>
      <c r="E35" s="21">
        <v>28</v>
      </c>
      <c r="F35" s="21">
        <v>41</v>
      </c>
      <c r="G35" s="21">
        <v>49</v>
      </c>
      <c r="H35" s="21">
        <v>194</v>
      </c>
      <c r="I35" s="21">
        <v>186</v>
      </c>
      <c r="J35" s="21">
        <v>136</v>
      </c>
      <c r="K35" s="21">
        <v>94</v>
      </c>
      <c r="L35" s="21">
        <v>87</v>
      </c>
      <c r="M35" s="21">
        <v>662</v>
      </c>
      <c r="N35" s="21">
        <v>596</v>
      </c>
      <c r="O35" s="21">
        <v>563</v>
      </c>
      <c r="P35" s="46">
        <f t="shared" si="18"/>
        <v>563</v>
      </c>
      <c r="Q35" s="23">
        <f t="shared" si="18"/>
        <v>563</v>
      </c>
      <c r="R35" s="23">
        <f t="shared" si="18"/>
        <v>563</v>
      </c>
      <c r="S35" s="23">
        <f t="shared" si="18"/>
        <v>563</v>
      </c>
      <c r="T35" s="24"/>
      <c r="U35" s="24">
        <f t="shared" si="13"/>
        <v>28</v>
      </c>
      <c r="V35" s="24">
        <f t="shared" si="14"/>
        <v>186</v>
      </c>
      <c r="W35" s="24">
        <f t="shared" si="15"/>
        <v>662</v>
      </c>
      <c r="X35" s="24">
        <f t="shared" si="16"/>
        <v>563</v>
      </c>
      <c r="Y35" s="24">
        <f t="shared" si="17"/>
        <v>563</v>
      </c>
    </row>
    <row r="36" spans="1:25">
      <c r="A36" s="42" t="s">
        <v>55</v>
      </c>
      <c r="B36" s="20">
        <f t="shared" ref="B36:S36" si="19">SUM(B28:B35)</f>
        <v>3236</v>
      </c>
      <c r="C36" s="20">
        <f t="shared" si="19"/>
        <v>2983</v>
      </c>
      <c r="D36" s="20">
        <f t="shared" si="19"/>
        <v>2897</v>
      </c>
      <c r="E36" s="20">
        <f t="shared" si="19"/>
        <v>3086</v>
      </c>
      <c r="F36" s="20">
        <f t="shared" si="19"/>
        <v>3431</v>
      </c>
      <c r="G36" s="20">
        <f t="shared" si="19"/>
        <v>3802</v>
      </c>
      <c r="H36" s="20">
        <f t="shared" si="19"/>
        <v>3550</v>
      </c>
      <c r="I36" s="20">
        <f t="shared" si="19"/>
        <v>3626</v>
      </c>
      <c r="J36" s="20">
        <f t="shared" si="19"/>
        <v>3833</v>
      </c>
      <c r="K36" s="20">
        <f t="shared" si="19"/>
        <v>4166</v>
      </c>
      <c r="L36" s="20">
        <f t="shared" si="19"/>
        <v>4632</v>
      </c>
      <c r="M36" s="20">
        <f t="shared" si="19"/>
        <v>4519</v>
      </c>
      <c r="N36" s="20">
        <f t="shared" si="19"/>
        <v>3469</v>
      </c>
      <c r="O36" s="20">
        <f t="shared" si="19"/>
        <v>3372</v>
      </c>
      <c r="P36" s="49">
        <f t="shared" si="19"/>
        <v>3381</v>
      </c>
      <c r="Q36" s="28">
        <f t="shared" si="19"/>
        <v>3390.0886725</v>
      </c>
      <c r="R36" s="28">
        <f t="shared" si="19"/>
        <v>3399.1026225000001</v>
      </c>
      <c r="S36" s="28">
        <f t="shared" si="19"/>
        <v>3408.74252475</v>
      </c>
      <c r="T36" s="20"/>
      <c r="U36" s="20">
        <f t="shared" si="13"/>
        <v>3086</v>
      </c>
      <c r="V36" s="20">
        <f t="shared" si="14"/>
        <v>3626</v>
      </c>
      <c r="W36" s="20">
        <f t="shared" si="15"/>
        <v>4519</v>
      </c>
      <c r="X36" s="20">
        <f t="shared" si="16"/>
        <v>3390.0886725</v>
      </c>
      <c r="Y36" s="20">
        <f t="shared" si="17"/>
        <v>3408.74252475</v>
      </c>
    </row>
    <row r="37" spans="1:25">
      <c r="A37" s="41" t="s">
        <v>56</v>
      </c>
      <c r="B37" s="21">
        <v>555</v>
      </c>
      <c r="C37" s="21">
        <v>632</v>
      </c>
      <c r="D37" s="21">
        <v>747</v>
      </c>
      <c r="E37" s="21">
        <v>858</v>
      </c>
      <c r="F37" s="21">
        <v>777</v>
      </c>
      <c r="G37" s="21">
        <v>753</v>
      </c>
      <c r="H37" s="21">
        <v>749</v>
      </c>
      <c r="I37" s="21">
        <v>771</v>
      </c>
      <c r="J37" s="21">
        <v>749</v>
      </c>
      <c r="K37" s="21">
        <v>736</v>
      </c>
      <c r="L37" s="21">
        <v>735</v>
      </c>
      <c r="M37" s="21">
        <v>802</v>
      </c>
      <c r="N37" s="21">
        <v>683</v>
      </c>
      <c r="O37" s="21">
        <v>780</v>
      </c>
      <c r="P37" s="46">
        <f>P5*Assumptions!B30</f>
        <v>815</v>
      </c>
      <c r="Q37" s="23">
        <f>Q5*Assumptions!C30</f>
        <v>819.79383000000018</v>
      </c>
      <c r="R37" s="23">
        <f>R5*Assumptions!D30</f>
        <v>812.76690000000008</v>
      </c>
      <c r="S37" s="23">
        <f>S5*Assumptions!E30</f>
        <v>856.51610000000016</v>
      </c>
      <c r="T37" s="24"/>
      <c r="U37" s="24">
        <f t="shared" si="13"/>
        <v>858</v>
      </c>
      <c r="V37" s="24">
        <f t="shared" si="14"/>
        <v>771</v>
      </c>
      <c r="W37" s="24">
        <f t="shared" si="15"/>
        <v>802</v>
      </c>
      <c r="X37" s="24">
        <f t="shared" si="16"/>
        <v>819.79383000000018</v>
      </c>
      <c r="Y37" s="24">
        <f t="shared" si="17"/>
        <v>856.51610000000016</v>
      </c>
    </row>
    <row r="38" spans="1:25">
      <c r="A38" s="41" t="s">
        <v>57</v>
      </c>
      <c r="B38" s="21">
        <v>5</v>
      </c>
      <c r="C38" s="21">
        <v>8</v>
      </c>
      <c r="D38" s="21">
        <v>8</v>
      </c>
      <c r="E38" s="21">
        <v>20</v>
      </c>
      <c r="F38" s="21">
        <v>21</v>
      </c>
      <c r="G38" s="21">
        <v>35</v>
      </c>
      <c r="H38" s="21">
        <v>27</v>
      </c>
      <c r="I38" s="21">
        <v>28</v>
      </c>
      <c r="J38" s="21">
        <v>46</v>
      </c>
      <c r="K38" s="21">
        <v>83</v>
      </c>
      <c r="L38" s="21">
        <v>117</v>
      </c>
      <c r="M38" s="21">
        <v>116</v>
      </c>
      <c r="N38" s="21">
        <v>94</v>
      </c>
      <c r="O38" s="21">
        <v>92</v>
      </c>
      <c r="P38" s="46">
        <f t="shared" ref="P38:S39" si="20">O38</f>
        <v>92</v>
      </c>
      <c r="Q38" s="23">
        <f t="shared" si="20"/>
        <v>92</v>
      </c>
      <c r="R38" s="23">
        <f t="shared" si="20"/>
        <v>92</v>
      </c>
      <c r="S38" s="23">
        <f t="shared" si="20"/>
        <v>92</v>
      </c>
      <c r="T38" s="24"/>
      <c r="U38" s="24">
        <f t="shared" si="13"/>
        <v>20</v>
      </c>
      <c r="V38" s="24">
        <f t="shared" si="14"/>
        <v>28</v>
      </c>
      <c r="W38" s="24">
        <f t="shared" si="15"/>
        <v>116</v>
      </c>
      <c r="X38" s="24">
        <f t="shared" si="16"/>
        <v>92</v>
      </c>
      <c r="Y38" s="24">
        <f t="shared" si="17"/>
        <v>92</v>
      </c>
    </row>
    <row r="39" spans="1:25">
      <c r="A39" s="41" t="s">
        <v>58</v>
      </c>
      <c r="B39" s="21">
        <v>995</v>
      </c>
      <c r="C39" s="21">
        <v>866</v>
      </c>
      <c r="D39" s="21">
        <v>1097</v>
      </c>
      <c r="E39" s="21">
        <v>1100</v>
      </c>
      <c r="F39" s="21">
        <v>1220</v>
      </c>
      <c r="G39" s="21">
        <v>1344</v>
      </c>
      <c r="H39" s="21">
        <v>1392</v>
      </c>
      <c r="I39" s="21">
        <v>2667</v>
      </c>
      <c r="J39" s="21">
        <v>2894</v>
      </c>
      <c r="K39" s="21">
        <v>3183</v>
      </c>
      <c r="L39" s="21">
        <v>3606</v>
      </c>
      <c r="M39" s="21">
        <v>4209</v>
      </c>
      <c r="N39" s="21">
        <v>3491</v>
      </c>
      <c r="O39" s="21">
        <v>3450</v>
      </c>
      <c r="P39" s="46">
        <f t="shared" si="20"/>
        <v>3450</v>
      </c>
      <c r="Q39" s="23">
        <f t="shared" si="20"/>
        <v>3450</v>
      </c>
      <c r="R39" s="23">
        <f t="shared" si="20"/>
        <v>3450</v>
      </c>
      <c r="S39" s="23">
        <f t="shared" si="20"/>
        <v>3450</v>
      </c>
      <c r="T39" s="24"/>
      <c r="U39" s="24">
        <f t="shared" si="13"/>
        <v>1100</v>
      </c>
      <c r="V39" s="24">
        <f t="shared" si="14"/>
        <v>2667</v>
      </c>
      <c r="W39" s="24">
        <f t="shared" si="15"/>
        <v>4209</v>
      </c>
      <c r="X39" s="24">
        <f t="shared" si="16"/>
        <v>3450</v>
      </c>
      <c r="Y39" s="24">
        <f t="shared" si="17"/>
        <v>3450</v>
      </c>
    </row>
    <row r="40" spans="1:25">
      <c r="A40" s="41" t="s">
        <v>59</v>
      </c>
      <c r="B40" s="21">
        <v>2443</v>
      </c>
      <c r="C40" s="21">
        <v>2550</v>
      </c>
      <c r="D40" s="21">
        <v>2618</v>
      </c>
      <c r="E40" s="21">
        <v>3114</v>
      </c>
      <c r="F40" s="21">
        <v>3451</v>
      </c>
      <c r="G40" s="21">
        <v>4054</v>
      </c>
      <c r="H40" s="21">
        <v>4688</v>
      </c>
      <c r="I40" s="21">
        <v>4781</v>
      </c>
      <c r="J40" s="21">
        <v>5019</v>
      </c>
      <c r="K40" s="21">
        <v>5161</v>
      </c>
      <c r="L40" s="21">
        <v>5456</v>
      </c>
      <c r="M40" s="21">
        <v>5258</v>
      </c>
      <c r="N40" s="21">
        <v>5255</v>
      </c>
      <c r="O40" s="21">
        <v>5938</v>
      </c>
      <c r="P40" s="46">
        <f>P107</f>
        <v>6472.8974200000002</v>
      </c>
      <c r="Q40" s="23">
        <f>Q107</f>
        <v>6886.2697870703005</v>
      </c>
      <c r="R40" s="23">
        <f>R107</f>
        <v>7233.3526517372447</v>
      </c>
      <c r="S40" s="23">
        <f>S107</f>
        <v>7854.0456423565956</v>
      </c>
      <c r="T40" s="24"/>
      <c r="U40" s="24">
        <f t="shared" si="13"/>
        <v>3114</v>
      </c>
      <c r="V40" s="24">
        <f t="shared" si="14"/>
        <v>4781</v>
      </c>
      <c r="W40" s="24">
        <f t="shared" si="15"/>
        <v>5258</v>
      </c>
      <c r="X40" s="24">
        <f t="shared" si="16"/>
        <v>6886.2697870703005</v>
      </c>
      <c r="Y40" s="24">
        <f t="shared" si="17"/>
        <v>7854.0456423565956</v>
      </c>
    </row>
    <row r="41" spans="1:25">
      <c r="A41" s="41" t="s">
        <v>60</v>
      </c>
      <c r="B41" s="21">
        <v>295</v>
      </c>
      <c r="C41" s="21">
        <v>273</v>
      </c>
      <c r="D41" s="21">
        <v>225</v>
      </c>
      <c r="E41" s="21">
        <v>168</v>
      </c>
      <c r="F41" s="21">
        <v>175</v>
      </c>
      <c r="G41" s="21">
        <v>158</v>
      </c>
      <c r="H41" s="21">
        <v>147</v>
      </c>
      <c r="I41" s="21">
        <v>132</v>
      </c>
      <c r="J41" s="21">
        <v>146</v>
      </c>
      <c r="K41" s="21">
        <v>136</v>
      </c>
      <c r="L41" s="21">
        <v>143</v>
      </c>
      <c r="M41" s="21">
        <v>111</v>
      </c>
      <c r="N41" s="21">
        <v>136</v>
      </c>
      <c r="O41" s="21">
        <v>116</v>
      </c>
      <c r="P41" s="46">
        <f>P5*Assumptions!B31</f>
        <v>125</v>
      </c>
      <c r="Q41" s="23">
        <f>Q5*Assumptions!C31</f>
        <v>125.73525000000002</v>
      </c>
      <c r="R41" s="23">
        <f>R5*Assumptions!D31</f>
        <v>124.65750000000001</v>
      </c>
      <c r="S41" s="23">
        <f>S5*Assumptions!E31</f>
        <v>131.36750000000004</v>
      </c>
      <c r="T41" s="24"/>
      <c r="U41" s="24">
        <f t="shared" si="13"/>
        <v>168</v>
      </c>
      <c r="V41" s="24">
        <f t="shared" si="14"/>
        <v>132</v>
      </c>
      <c r="W41" s="24">
        <f t="shared" si="15"/>
        <v>111</v>
      </c>
      <c r="X41" s="24">
        <f t="shared" si="16"/>
        <v>125.73525000000002</v>
      </c>
      <c r="Y41" s="24">
        <f t="shared" si="17"/>
        <v>131.36750000000004</v>
      </c>
    </row>
    <row r="42" spans="1:25">
      <c r="A42" s="42" t="s">
        <v>61</v>
      </c>
      <c r="B42" s="20">
        <f t="shared" ref="B42:S42" si="21">SUM(B37:B41)</f>
        <v>4293</v>
      </c>
      <c r="C42" s="20">
        <f t="shared" si="21"/>
        <v>4329</v>
      </c>
      <c r="D42" s="20">
        <f t="shared" si="21"/>
        <v>4695</v>
      </c>
      <c r="E42" s="20">
        <f t="shared" si="21"/>
        <v>5260</v>
      </c>
      <c r="F42" s="20">
        <f t="shared" si="21"/>
        <v>5644</v>
      </c>
      <c r="G42" s="20">
        <f t="shared" si="21"/>
        <v>6344</v>
      </c>
      <c r="H42" s="20">
        <f t="shared" si="21"/>
        <v>7003</v>
      </c>
      <c r="I42" s="20">
        <f t="shared" si="21"/>
        <v>8379</v>
      </c>
      <c r="J42" s="20">
        <f t="shared" si="21"/>
        <v>8854</v>
      </c>
      <c r="K42" s="20">
        <f t="shared" si="21"/>
        <v>9299</v>
      </c>
      <c r="L42" s="20">
        <f t="shared" si="21"/>
        <v>10057</v>
      </c>
      <c r="M42" s="20">
        <f t="shared" si="21"/>
        <v>10496</v>
      </c>
      <c r="N42" s="20">
        <f t="shared" si="21"/>
        <v>9659</v>
      </c>
      <c r="O42" s="20">
        <f t="shared" si="21"/>
        <v>10376</v>
      </c>
      <c r="P42" s="49">
        <f t="shared" si="21"/>
        <v>10954.897420000001</v>
      </c>
      <c r="Q42" s="28">
        <f t="shared" si="21"/>
        <v>11373.7988670703</v>
      </c>
      <c r="R42" s="28">
        <f t="shared" si="21"/>
        <v>11712.777051737245</v>
      </c>
      <c r="S42" s="28">
        <f t="shared" si="21"/>
        <v>12383.929242356597</v>
      </c>
      <c r="T42" s="20"/>
      <c r="U42" s="20">
        <f t="shared" si="13"/>
        <v>5260</v>
      </c>
      <c r="V42" s="20">
        <f t="shared" si="14"/>
        <v>8379</v>
      </c>
      <c r="W42" s="20">
        <f t="shared" si="15"/>
        <v>10496</v>
      </c>
      <c r="X42" s="20">
        <f t="shared" si="16"/>
        <v>11373.7988670703</v>
      </c>
      <c r="Y42" s="20">
        <f t="shared" si="17"/>
        <v>12383.929242356597</v>
      </c>
    </row>
    <row r="43" spans="1:25">
      <c r="A43" s="42" t="s">
        <v>62</v>
      </c>
      <c r="B43" s="20">
        <f t="shared" ref="B43:S43" si="22">B36+B42</f>
        <v>7529</v>
      </c>
      <c r="C43" s="20">
        <f t="shared" si="22"/>
        <v>7312</v>
      </c>
      <c r="D43" s="20">
        <f t="shared" si="22"/>
        <v>7592</v>
      </c>
      <c r="E43" s="20">
        <f t="shared" si="22"/>
        <v>8346</v>
      </c>
      <c r="F43" s="20">
        <f t="shared" si="22"/>
        <v>9075</v>
      </c>
      <c r="G43" s="20">
        <f t="shared" si="22"/>
        <v>10146</v>
      </c>
      <c r="H43" s="20">
        <f t="shared" si="22"/>
        <v>10553</v>
      </c>
      <c r="I43" s="20">
        <f t="shared" si="22"/>
        <v>12005</v>
      </c>
      <c r="J43" s="20">
        <f t="shared" si="22"/>
        <v>12687</v>
      </c>
      <c r="K43" s="20">
        <f t="shared" si="22"/>
        <v>13465</v>
      </c>
      <c r="L43" s="20">
        <f t="shared" si="22"/>
        <v>14689</v>
      </c>
      <c r="M43" s="20">
        <f t="shared" si="22"/>
        <v>15015</v>
      </c>
      <c r="N43" s="20">
        <f t="shared" si="22"/>
        <v>13128</v>
      </c>
      <c r="O43" s="20">
        <f t="shared" si="22"/>
        <v>13748</v>
      </c>
      <c r="P43" s="49">
        <f t="shared" si="22"/>
        <v>14335.897420000001</v>
      </c>
      <c r="Q43" s="28">
        <f t="shared" si="22"/>
        <v>14763.8875395703</v>
      </c>
      <c r="R43" s="28">
        <f t="shared" si="22"/>
        <v>15111.879674237245</v>
      </c>
      <c r="S43" s="28">
        <f t="shared" si="22"/>
        <v>15792.671767106596</v>
      </c>
      <c r="T43" s="20"/>
      <c r="U43" s="20">
        <f t="shared" si="13"/>
        <v>8346</v>
      </c>
      <c r="V43" s="20">
        <f t="shared" si="14"/>
        <v>12005</v>
      </c>
      <c r="W43" s="20">
        <f t="shared" si="15"/>
        <v>15015</v>
      </c>
      <c r="X43" s="20">
        <f t="shared" si="16"/>
        <v>14763.8875395703</v>
      </c>
      <c r="Y43" s="20">
        <f t="shared" si="17"/>
        <v>15792.671767106596</v>
      </c>
    </row>
    <row r="44" spans="1:25">
      <c r="A44" s="41" t="s">
        <v>63</v>
      </c>
      <c r="B44" s="21">
        <v>0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46">
        <f>O44</f>
        <v>0</v>
      </c>
      <c r="Q44" s="23">
        <f>P44</f>
        <v>0</v>
      </c>
      <c r="R44" s="23">
        <f>Q44</f>
        <v>0</v>
      </c>
      <c r="S44" s="23">
        <f>R44</f>
        <v>0</v>
      </c>
      <c r="T44" s="24"/>
      <c r="U44" s="24">
        <f t="shared" si="13"/>
        <v>0</v>
      </c>
      <c r="V44" s="24">
        <f t="shared" si="14"/>
        <v>0</v>
      </c>
      <c r="W44" s="24">
        <f t="shared" si="15"/>
        <v>0</v>
      </c>
      <c r="X44" s="24">
        <f t="shared" si="16"/>
        <v>0</v>
      </c>
      <c r="Y44" s="24">
        <f t="shared" si="17"/>
        <v>0</v>
      </c>
    </row>
    <row r="45" spans="1:25">
      <c r="A45" s="41" t="s">
        <v>64</v>
      </c>
      <c r="B45" s="21">
        <v>4864</v>
      </c>
      <c r="C45" s="21">
        <v>4899</v>
      </c>
      <c r="D45" s="21">
        <v>4931</v>
      </c>
      <c r="E45" s="21">
        <v>5155</v>
      </c>
      <c r="F45" s="21">
        <v>5397</v>
      </c>
      <c r="G45" s="21">
        <v>5637</v>
      </c>
      <c r="H45" s="21">
        <v>5825</v>
      </c>
      <c r="I45" s="21">
        <v>6124</v>
      </c>
      <c r="J45" s="21">
        <v>6328</v>
      </c>
      <c r="K45" s="21">
        <v>6420</v>
      </c>
      <c r="L45" s="21">
        <v>6459</v>
      </c>
      <c r="M45" s="21">
        <v>6496</v>
      </c>
      <c r="N45" s="21">
        <v>6560</v>
      </c>
      <c r="O45" s="21">
        <v>6624</v>
      </c>
      <c r="P45" s="46">
        <f t="shared" ref="P45:S46" si="23">O45+P97</f>
        <v>6654</v>
      </c>
      <c r="Q45" s="23">
        <f t="shared" si="23"/>
        <v>6684</v>
      </c>
      <c r="R45" s="23">
        <f t="shared" si="23"/>
        <v>6714</v>
      </c>
      <c r="S45" s="23">
        <f t="shared" si="23"/>
        <v>6744</v>
      </c>
      <c r="T45" s="24"/>
      <c r="U45" s="24">
        <f t="shared" si="13"/>
        <v>5155</v>
      </c>
      <c r="V45" s="24">
        <f t="shared" si="14"/>
        <v>6124</v>
      </c>
      <c r="W45" s="24">
        <f t="shared" si="15"/>
        <v>6496</v>
      </c>
      <c r="X45" s="24">
        <f t="shared" si="16"/>
        <v>6684</v>
      </c>
      <c r="Y45" s="24">
        <f t="shared" si="17"/>
        <v>6744</v>
      </c>
    </row>
    <row r="46" spans="1:25">
      <c r="A46" s="41" t="s">
        <v>65</v>
      </c>
      <c r="B46" s="21">
        <v>-262</v>
      </c>
      <c r="C46" s="21">
        <v>-262</v>
      </c>
      <c r="D46" s="21">
        <v>-262</v>
      </c>
      <c r="E46" s="21">
        <v>-262</v>
      </c>
      <c r="F46" s="21">
        <v>-262</v>
      </c>
      <c r="G46" s="21">
        <v>-262</v>
      </c>
      <c r="H46" s="21">
        <v>-262</v>
      </c>
      <c r="I46" s="21">
        <v>-262</v>
      </c>
      <c r="J46" s="21">
        <v>-262</v>
      </c>
      <c r="K46" s="21">
        <v>-262</v>
      </c>
      <c r="L46" s="21">
        <v>-328</v>
      </c>
      <c r="M46" s="21">
        <v>-701</v>
      </c>
      <c r="N46" s="21">
        <v>-1007</v>
      </c>
      <c r="O46" s="21">
        <v>-1248</v>
      </c>
      <c r="P46" s="46">
        <f t="shared" si="23"/>
        <v>-1548</v>
      </c>
      <c r="Q46" s="23">
        <f t="shared" si="23"/>
        <v>-1848</v>
      </c>
      <c r="R46" s="23">
        <f t="shared" si="23"/>
        <v>-2148</v>
      </c>
      <c r="S46" s="23">
        <f t="shared" si="23"/>
        <v>-2448</v>
      </c>
      <c r="T46" s="24"/>
      <c r="U46" s="24">
        <f t="shared" si="13"/>
        <v>-262</v>
      </c>
      <c r="V46" s="24">
        <f t="shared" si="14"/>
        <v>-262</v>
      </c>
      <c r="W46" s="24">
        <f t="shared" si="15"/>
        <v>-701</v>
      </c>
      <c r="X46" s="24">
        <f t="shared" si="16"/>
        <v>-1848</v>
      </c>
      <c r="Y46" s="24">
        <f t="shared" si="17"/>
        <v>-2448</v>
      </c>
    </row>
    <row r="47" spans="1:25">
      <c r="A47" s="41" t="s">
        <v>66</v>
      </c>
      <c r="B47" s="21">
        <v>1615</v>
      </c>
      <c r="C47" s="21">
        <v>1594</v>
      </c>
      <c r="D47" s="21">
        <v>1582</v>
      </c>
      <c r="E47" s="21">
        <v>1812</v>
      </c>
      <c r="F47" s="21">
        <v>2159</v>
      </c>
      <c r="G47" s="21">
        <v>2595</v>
      </c>
      <c r="H47" s="21">
        <v>2481</v>
      </c>
      <c r="I47" s="21">
        <v>2707</v>
      </c>
      <c r="J47" s="21">
        <v>3000</v>
      </c>
      <c r="K47" s="21">
        <v>3374</v>
      </c>
      <c r="L47" s="21">
        <v>3654</v>
      </c>
      <c r="M47" s="21">
        <v>3366</v>
      </c>
      <c r="N47" s="21">
        <v>2581</v>
      </c>
      <c r="O47" s="21">
        <v>2588</v>
      </c>
      <c r="P47" s="46">
        <f>P43-P64-P44-P45-P46-P48</f>
        <v>2627.0800000000008</v>
      </c>
      <c r="Q47" s="23">
        <f>Q43-Q64-Q44-Q45-Q46-Q48</f>
        <v>2664.2047124999999</v>
      </c>
      <c r="R47" s="23">
        <f>R43-R64-R44-R45-R46-R48</f>
        <v>2700.9238944999997</v>
      </c>
      <c r="S47" s="23">
        <f>S43-S64-S44-S45-S46-S48</f>
        <v>2739.1874281100004</v>
      </c>
      <c r="T47" s="24"/>
      <c r="U47" s="24">
        <f t="shared" si="13"/>
        <v>1812</v>
      </c>
      <c r="V47" s="24">
        <f t="shared" si="14"/>
        <v>2707</v>
      </c>
      <c r="W47" s="24">
        <f t="shared" si="15"/>
        <v>3366</v>
      </c>
      <c r="X47" s="24">
        <f t="shared" si="16"/>
        <v>2664.2047124999999</v>
      </c>
      <c r="Y47" s="24">
        <f t="shared" si="17"/>
        <v>2739.1874281100004</v>
      </c>
    </row>
    <row r="48" spans="1:25">
      <c r="A48" s="41" t="s">
        <v>67</v>
      </c>
      <c r="B48" s="21">
        <v>-3875</v>
      </c>
      <c r="C48" s="21">
        <v>-4177</v>
      </c>
      <c r="D48" s="21">
        <v>-4112</v>
      </c>
      <c r="E48" s="21">
        <v>-4182</v>
      </c>
      <c r="F48" s="21">
        <v>-3985</v>
      </c>
      <c r="G48" s="21">
        <v>-3711</v>
      </c>
      <c r="H48" s="21">
        <v>-3411</v>
      </c>
      <c r="I48" s="21">
        <v>-3044</v>
      </c>
      <c r="J48" s="21">
        <v>-2819</v>
      </c>
      <c r="K48" s="21">
        <v>-2905</v>
      </c>
      <c r="L48" s="21">
        <v>-2006</v>
      </c>
      <c r="M48" s="21">
        <v>-832</v>
      </c>
      <c r="N48" s="21">
        <v>-124</v>
      </c>
      <c r="O48" s="21">
        <v>421</v>
      </c>
      <c r="P48" s="46">
        <f>O48+P20</f>
        <v>975.53019999999992</v>
      </c>
      <c r="Q48" s="23">
        <f>P48+Q20</f>
        <v>1582.3802192430001</v>
      </c>
      <c r="R48" s="23">
        <f>Q48+R20</f>
        <v>2187.3431153270176</v>
      </c>
      <c r="S48" s="23">
        <f>R48+S20</f>
        <v>2815.4907044610704</v>
      </c>
      <c r="T48" s="24"/>
      <c r="U48" s="24">
        <f t="shared" si="13"/>
        <v>-4182</v>
      </c>
      <c r="V48" s="24">
        <f t="shared" si="14"/>
        <v>-3044</v>
      </c>
      <c r="W48" s="24">
        <f t="shared" si="15"/>
        <v>-832</v>
      </c>
      <c r="X48" s="24">
        <f t="shared" si="16"/>
        <v>1582.3802192430001</v>
      </c>
      <c r="Y48" s="24">
        <f t="shared" si="17"/>
        <v>2815.4907044610704</v>
      </c>
    </row>
    <row r="49" spans="1:25">
      <c r="A49" s="42" t="s">
        <v>68</v>
      </c>
      <c r="B49" s="20">
        <f t="shared" ref="B49:S49" si="24">SUM(B44:B48)</f>
        <v>2342</v>
      </c>
      <c r="C49" s="20">
        <f t="shared" si="24"/>
        <v>2054</v>
      </c>
      <c r="D49" s="20">
        <f t="shared" si="24"/>
        <v>2139</v>
      </c>
      <c r="E49" s="20">
        <f t="shared" si="24"/>
        <v>2523</v>
      </c>
      <c r="F49" s="20">
        <f t="shared" si="24"/>
        <v>3309</v>
      </c>
      <c r="G49" s="20">
        <f t="shared" si="24"/>
        <v>4259</v>
      </c>
      <c r="H49" s="20">
        <f t="shared" si="24"/>
        <v>4633</v>
      </c>
      <c r="I49" s="20">
        <f t="shared" si="24"/>
        <v>5525</v>
      </c>
      <c r="J49" s="20">
        <f t="shared" si="24"/>
        <v>6247</v>
      </c>
      <c r="K49" s="20">
        <f t="shared" si="24"/>
        <v>6627</v>
      </c>
      <c r="L49" s="20">
        <f t="shared" si="24"/>
        <v>7779</v>
      </c>
      <c r="M49" s="20">
        <f t="shared" si="24"/>
        <v>8329</v>
      </c>
      <c r="N49" s="20">
        <f t="shared" si="24"/>
        <v>8010</v>
      </c>
      <c r="O49" s="20">
        <f t="shared" si="24"/>
        <v>8385</v>
      </c>
      <c r="P49" s="49">
        <f t="shared" si="24"/>
        <v>8708.610200000001</v>
      </c>
      <c r="Q49" s="28">
        <f t="shared" si="24"/>
        <v>9082.5849317430002</v>
      </c>
      <c r="R49" s="28">
        <f t="shared" si="24"/>
        <v>9454.2670098270173</v>
      </c>
      <c r="S49" s="28">
        <f t="shared" si="24"/>
        <v>9850.6781325710708</v>
      </c>
      <c r="T49" s="20"/>
      <c r="U49" s="20">
        <f t="shared" si="13"/>
        <v>2523</v>
      </c>
      <c r="V49" s="20">
        <f t="shared" si="14"/>
        <v>5525</v>
      </c>
      <c r="W49" s="20">
        <f t="shared" si="15"/>
        <v>8329</v>
      </c>
      <c r="X49" s="20">
        <f t="shared" si="16"/>
        <v>9082.5849317430002</v>
      </c>
      <c r="Y49" s="20">
        <f t="shared" si="17"/>
        <v>9850.6781325710708</v>
      </c>
    </row>
    <row r="50" spans="1:25">
      <c r="A50" s="41" t="s">
        <v>69</v>
      </c>
      <c r="B50" s="21">
        <v>1156</v>
      </c>
      <c r="C50" s="21">
        <v>1167</v>
      </c>
      <c r="D50" s="21">
        <v>1209</v>
      </c>
      <c r="E50" s="21">
        <v>1203</v>
      </c>
      <c r="F50" s="21">
        <v>1270</v>
      </c>
      <c r="G50" s="21">
        <v>1323</v>
      </c>
      <c r="H50" s="21">
        <v>1340</v>
      </c>
      <c r="I50" s="21">
        <v>1539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52">
        <v>0</v>
      </c>
      <c r="Q50" s="37">
        <v>0</v>
      </c>
      <c r="R50" s="37">
        <v>0</v>
      </c>
      <c r="S50" s="37">
        <v>0</v>
      </c>
      <c r="T50" s="24"/>
      <c r="U50" s="24">
        <f t="shared" si="13"/>
        <v>1203</v>
      </c>
      <c r="V50" s="24">
        <f t="shared" si="14"/>
        <v>1539</v>
      </c>
      <c r="W50" s="24">
        <f t="shared" si="15"/>
        <v>0</v>
      </c>
      <c r="X50" s="24">
        <f t="shared" si="16"/>
        <v>0</v>
      </c>
      <c r="Y50" s="24">
        <f t="shared" si="17"/>
        <v>0</v>
      </c>
    </row>
    <row r="51" spans="1:25">
      <c r="A51" s="41" t="s">
        <v>70</v>
      </c>
      <c r="B51" s="21">
        <v>546</v>
      </c>
      <c r="C51" s="21">
        <v>522</v>
      </c>
      <c r="D51" s="21">
        <v>520</v>
      </c>
      <c r="E51" s="21">
        <v>493</v>
      </c>
      <c r="F51" s="21">
        <v>493</v>
      </c>
      <c r="G51" s="21">
        <v>472</v>
      </c>
      <c r="H51" s="21">
        <v>446</v>
      </c>
      <c r="I51" s="21">
        <v>462</v>
      </c>
      <c r="J51" s="21">
        <v>448</v>
      </c>
      <c r="K51" s="21">
        <v>453</v>
      </c>
      <c r="L51" s="21">
        <v>444</v>
      </c>
      <c r="M51" s="21">
        <v>433</v>
      </c>
      <c r="N51" s="21">
        <v>414</v>
      </c>
      <c r="O51" s="21">
        <v>404</v>
      </c>
      <c r="P51" s="46">
        <f>O51*(1+Assumptions!B35)</f>
        <v>395.92</v>
      </c>
      <c r="Q51" s="23">
        <f>P51*(1+Assumptions!C35)</f>
        <v>388.0016</v>
      </c>
      <c r="R51" s="23">
        <f>Q51*(1+Assumptions!D35)</f>
        <v>380.24156799999997</v>
      </c>
      <c r="S51" s="23">
        <f>R51*(1+Assumptions!E35)</f>
        <v>372.63673663999998</v>
      </c>
      <c r="T51" s="24"/>
      <c r="U51" s="24">
        <f t="shared" si="13"/>
        <v>493</v>
      </c>
      <c r="V51" s="24">
        <f t="shared" si="14"/>
        <v>462</v>
      </c>
      <c r="W51" s="24">
        <f t="shared" si="15"/>
        <v>433</v>
      </c>
      <c r="X51" s="24">
        <f t="shared" si="16"/>
        <v>388.0016</v>
      </c>
      <c r="Y51" s="24">
        <f t="shared" si="17"/>
        <v>372.63673663999998</v>
      </c>
    </row>
    <row r="52" spans="1:25">
      <c r="A52" s="41" t="s">
        <v>71</v>
      </c>
      <c r="B52" s="21">
        <v>17</v>
      </c>
      <c r="C52" s="21">
        <v>14</v>
      </c>
      <c r="D52" s="21">
        <v>14</v>
      </c>
      <c r="E52" s="21">
        <v>26</v>
      </c>
      <c r="F52" s="21">
        <v>17</v>
      </c>
      <c r="G52" s="21">
        <v>11</v>
      </c>
      <c r="H52" s="21">
        <v>5</v>
      </c>
      <c r="I52" s="21">
        <v>5</v>
      </c>
      <c r="J52" s="21">
        <v>4</v>
      </c>
      <c r="K52" s="21">
        <v>4</v>
      </c>
      <c r="L52" s="21">
        <v>1</v>
      </c>
      <c r="M52" s="21">
        <v>2</v>
      </c>
      <c r="N52" s="21">
        <v>2</v>
      </c>
      <c r="O52" s="21">
        <v>2</v>
      </c>
      <c r="P52" s="46">
        <f t="shared" ref="P52:S54" si="25">O52</f>
        <v>2</v>
      </c>
      <c r="Q52" s="23">
        <f t="shared" si="25"/>
        <v>2</v>
      </c>
      <c r="R52" s="23">
        <f t="shared" si="25"/>
        <v>2</v>
      </c>
      <c r="S52" s="23">
        <f t="shared" si="25"/>
        <v>2</v>
      </c>
      <c r="T52" s="24"/>
      <c r="U52" s="24">
        <f t="shared" si="13"/>
        <v>26</v>
      </c>
      <c r="V52" s="24">
        <f t="shared" si="14"/>
        <v>5</v>
      </c>
      <c r="W52" s="24">
        <f t="shared" si="15"/>
        <v>2</v>
      </c>
      <c r="X52" s="24">
        <f t="shared" si="16"/>
        <v>2</v>
      </c>
      <c r="Y52" s="24">
        <f t="shared" si="17"/>
        <v>2</v>
      </c>
    </row>
    <row r="53" spans="1:25">
      <c r="A53" s="41" t="s">
        <v>72</v>
      </c>
      <c r="B53" s="21">
        <v>3</v>
      </c>
      <c r="C53" s="21">
        <v>3</v>
      </c>
      <c r="D53" s="21">
        <v>3</v>
      </c>
      <c r="E53" s="21">
        <v>3</v>
      </c>
      <c r="F53" s="21">
        <v>3</v>
      </c>
      <c r="G53" s="21">
        <v>3</v>
      </c>
      <c r="H53" s="21">
        <v>3</v>
      </c>
      <c r="I53" s="21">
        <v>3</v>
      </c>
      <c r="J53" s="21">
        <v>2</v>
      </c>
      <c r="K53" s="21">
        <v>3</v>
      </c>
      <c r="L53" s="21">
        <v>3</v>
      </c>
      <c r="M53" s="21">
        <v>3</v>
      </c>
      <c r="N53" s="21">
        <v>3</v>
      </c>
      <c r="O53" s="21">
        <v>13</v>
      </c>
      <c r="P53" s="46">
        <f t="shared" si="25"/>
        <v>13</v>
      </c>
      <c r="Q53" s="23">
        <f t="shared" si="25"/>
        <v>13</v>
      </c>
      <c r="R53" s="23">
        <f t="shared" si="25"/>
        <v>13</v>
      </c>
      <c r="S53" s="23">
        <f t="shared" si="25"/>
        <v>13</v>
      </c>
      <c r="T53" s="24"/>
      <c r="U53" s="24">
        <f t="shared" si="13"/>
        <v>3</v>
      </c>
      <c r="V53" s="24">
        <f t="shared" si="14"/>
        <v>3</v>
      </c>
      <c r="W53" s="24">
        <f t="shared" si="15"/>
        <v>3</v>
      </c>
      <c r="X53" s="24">
        <f t="shared" si="16"/>
        <v>13</v>
      </c>
      <c r="Y53" s="24">
        <f t="shared" si="17"/>
        <v>13</v>
      </c>
    </row>
    <row r="54" spans="1:25">
      <c r="A54" s="41" t="s">
        <v>73</v>
      </c>
      <c r="B54" s="21">
        <v>6</v>
      </c>
      <c r="C54" s="21">
        <v>6</v>
      </c>
      <c r="D54" s="21">
        <v>6</v>
      </c>
      <c r="E54" s="21">
        <v>8</v>
      </c>
      <c r="F54" s="21">
        <v>17</v>
      </c>
      <c r="G54" s="21">
        <v>19</v>
      </c>
      <c r="H54" s="21">
        <v>20</v>
      </c>
      <c r="I54" s="21">
        <v>21</v>
      </c>
      <c r="J54" s="21">
        <v>21</v>
      </c>
      <c r="K54" s="21">
        <v>66</v>
      </c>
      <c r="L54" s="21">
        <v>223</v>
      </c>
      <c r="M54" s="21">
        <v>163</v>
      </c>
      <c r="N54" s="21">
        <v>11</v>
      </c>
      <c r="O54" s="21">
        <v>30</v>
      </c>
      <c r="P54" s="46">
        <f t="shared" si="25"/>
        <v>30</v>
      </c>
      <c r="Q54" s="23">
        <f t="shared" si="25"/>
        <v>30</v>
      </c>
      <c r="R54" s="23">
        <f t="shared" si="25"/>
        <v>30</v>
      </c>
      <c r="S54" s="23">
        <f t="shared" si="25"/>
        <v>30</v>
      </c>
      <c r="T54" s="24"/>
      <c r="U54" s="24">
        <f t="shared" si="13"/>
        <v>8</v>
      </c>
      <c r="V54" s="24">
        <f t="shared" si="14"/>
        <v>21</v>
      </c>
      <c r="W54" s="24">
        <f t="shared" si="15"/>
        <v>163</v>
      </c>
      <c r="X54" s="24">
        <f t="shared" si="16"/>
        <v>30</v>
      </c>
      <c r="Y54" s="24">
        <f t="shared" si="17"/>
        <v>30</v>
      </c>
    </row>
    <row r="55" spans="1:25">
      <c r="A55" s="42" t="s">
        <v>74</v>
      </c>
      <c r="B55" s="20">
        <f t="shared" ref="B55:S55" si="26">SUM(B50:B54)</f>
        <v>1728</v>
      </c>
      <c r="C55" s="20">
        <f t="shared" si="26"/>
        <v>1712</v>
      </c>
      <c r="D55" s="20">
        <f t="shared" si="26"/>
        <v>1752</v>
      </c>
      <c r="E55" s="20">
        <f t="shared" si="26"/>
        <v>1733</v>
      </c>
      <c r="F55" s="20">
        <f t="shared" si="26"/>
        <v>1800</v>
      </c>
      <c r="G55" s="20">
        <f t="shared" si="26"/>
        <v>1828</v>
      </c>
      <c r="H55" s="20">
        <f t="shared" si="26"/>
        <v>1814</v>
      </c>
      <c r="I55" s="20">
        <f t="shared" si="26"/>
        <v>2030</v>
      </c>
      <c r="J55" s="20">
        <f t="shared" si="26"/>
        <v>475</v>
      </c>
      <c r="K55" s="20">
        <f t="shared" si="26"/>
        <v>526</v>
      </c>
      <c r="L55" s="20">
        <f t="shared" si="26"/>
        <v>671</v>
      </c>
      <c r="M55" s="20">
        <f t="shared" si="26"/>
        <v>601</v>
      </c>
      <c r="N55" s="20">
        <f t="shared" si="26"/>
        <v>430</v>
      </c>
      <c r="O55" s="20">
        <f t="shared" si="26"/>
        <v>449</v>
      </c>
      <c r="P55" s="49">
        <f t="shared" si="26"/>
        <v>440.92</v>
      </c>
      <c r="Q55" s="28">
        <f t="shared" si="26"/>
        <v>433.0016</v>
      </c>
      <c r="R55" s="28">
        <f t="shared" si="26"/>
        <v>425.24156799999997</v>
      </c>
      <c r="S55" s="28">
        <f t="shared" si="26"/>
        <v>417.63673663999998</v>
      </c>
      <c r="T55" s="20"/>
      <c r="U55" s="20">
        <f t="shared" si="13"/>
        <v>1733</v>
      </c>
      <c r="V55" s="20">
        <f t="shared" si="14"/>
        <v>2030</v>
      </c>
      <c r="W55" s="20">
        <f t="shared" si="15"/>
        <v>601</v>
      </c>
      <c r="X55" s="20">
        <f t="shared" si="16"/>
        <v>433.0016</v>
      </c>
      <c r="Y55" s="20">
        <f t="shared" si="17"/>
        <v>417.63673663999998</v>
      </c>
    </row>
    <row r="56" spans="1:25">
      <c r="A56" s="41" t="s">
        <v>75</v>
      </c>
      <c r="B56" s="21">
        <v>850</v>
      </c>
      <c r="C56" s="21">
        <v>893</v>
      </c>
      <c r="D56" s="21">
        <v>945</v>
      </c>
      <c r="E56" s="21">
        <v>978</v>
      </c>
      <c r="F56" s="21">
        <v>1048</v>
      </c>
      <c r="G56" s="21">
        <v>1091</v>
      </c>
      <c r="H56" s="21">
        <v>1084</v>
      </c>
      <c r="I56" s="21">
        <v>1342</v>
      </c>
      <c r="J56" s="21">
        <v>1064</v>
      </c>
      <c r="K56" s="21">
        <v>1171</v>
      </c>
      <c r="L56" s="21">
        <v>1193</v>
      </c>
      <c r="M56" s="21">
        <v>1194</v>
      </c>
      <c r="N56" s="21">
        <v>1250</v>
      </c>
      <c r="O56" s="21">
        <v>1325</v>
      </c>
      <c r="P56" s="46">
        <f>P6*Assumptions!B32</f>
        <v>1409.1</v>
      </c>
      <c r="Q56" s="23">
        <f>Q6*Assumptions!C32</f>
        <v>1421.6130306000002</v>
      </c>
      <c r="R56" s="23">
        <f>R6*Assumptions!D32</f>
        <v>1407.333312</v>
      </c>
      <c r="S56" s="23">
        <f>S6*Assumptions!E32</f>
        <v>1480.8795540000001</v>
      </c>
      <c r="T56" s="24"/>
      <c r="U56" s="24">
        <f t="shared" si="13"/>
        <v>978</v>
      </c>
      <c r="V56" s="24">
        <f t="shared" si="14"/>
        <v>1342</v>
      </c>
      <c r="W56" s="24">
        <f t="shared" si="15"/>
        <v>1194</v>
      </c>
      <c r="X56" s="24">
        <f t="shared" si="16"/>
        <v>1421.6130306000002</v>
      </c>
      <c r="Y56" s="24">
        <f t="shared" si="17"/>
        <v>1480.8795540000001</v>
      </c>
    </row>
    <row r="57" spans="1:25">
      <c r="A57" s="41" t="s">
        <v>76</v>
      </c>
      <c r="B57" s="21">
        <v>9</v>
      </c>
      <c r="C57" s="21">
        <v>11</v>
      </c>
      <c r="D57" s="21">
        <v>8</v>
      </c>
      <c r="E57" s="21">
        <v>12</v>
      </c>
      <c r="F57" s="21">
        <v>14</v>
      </c>
      <c r="G57" s="21">
        <v>17</v>
      </c>
      <c r="H57" s="21">
        <v>21</v>
      </c>
      <c r="I57" s="21">
        <v>33</v>
      </c>
      <c r="J57" s="21">
        <v>40</v>
      </c>
      <c r="K57" s="21">
        <v>42</v>
      </c>
      <c r="L57" s="21">
        <v>31</v>
      </c>
      <c r="M57" s="21">
        <v>72</v>
      </c>
      <c r="N57" s="21">
        <v>150</v>
      </c>
      <c r="O57" s="21">
        <v>171</v>
      </c>
      <c r="P57" s="46">
        <f>MAX(0,O57+P19+P86)</f>
        <v>197.26722000000001</v>
      </c>
      <c r="Q57" s="23">
        <f>MAX(0,P57+Q19+Q86)</f>
        <v>226.01274722730005</v>
      </c>
      <c r="R57" s="23">
        <f>MAX(0,Q57+R19+R86)</f>
        <v>254.66888441022724</v>
      </c>
      <c r="S57" s="23">
        <f>MAX(0,R57+S19+S86)</f>
        <v>284.42324389552448</v>
      </c>
      <c r="T57" s="24"/>
      <c r="U57" s="24">
        <f t="shared" si="13"/>
        <v>12</v>
      </c>
      <c r="V57" s="24">
        <f t="shared" si="14"/>
        <v>33</v>
      </c>
      <c r="W57" s="24">
        <f t="shared" si="15"/>
        <v>72</v>
      </c>
      <c r="X57" s="24">
        <f t="shared" si="16"/>
        <v>226.01274722730005</v>
      </c>
      <c r="Y57" s="24">
        <f t="shared" si="17"/>
        <v>284.42324389552448</v>
      </c>
    </row>
    <row r="58" spans="1:25">
      <c r="A58" s="41" t="s">
        <v>77</v>
      </c>
      <c r="B58" s="21">
        <v>524</v>
      </c>
      <c r="C58" s="21">
        <v>536</v>
      </c>
      <c r="D58" s="21">
        <v>599</v>
      </c>
      <c r="E58" s="21">
        <v>622</v>
      </c>
      <c r="F58" s="21">
        <v>634</v>
      </c>
      <c r="G58" s="21">
        <v>657</v>
      </c>
      <c r="H58" s="21">
        <v>680</v>
      </c>
      <c r="I58" s="21">
        <v>683</v>
      </c>
      <c r="J58" s="21">
        <v>675</v>
      </c>
      <c r="K58" s="21">
        <v>665</v>
      </c>
      <c r="L58" s="21">
        <v>692</v>
      </c>
      <c r="M58" s="21">
        <v>711</v>
      </c>
      <c r="N58" s="21">
        <v>750</v>
      </c>
      <c r="O58" s="21">
        <v>778</v>
      </c>
      <c r="P58" s="46">
        <f>P5*Assumptions!B33</f>
        <v>815</v>
      </c>
      <c r="Q58" s="23">
        <f>Q5*Assumptions!C33</f>
        <v>819.79383000000018</v>
      </c>
      <c r="R58" s="23">
        <f>R5*Assumptions!D33</f>
        <v>812.76690000000008</v>
      </c>
      <c r="S58" s="23">
        <f>S5*Assumptions!E33</f>
        <v>856.51610000000016</v>
      </c>
      <c r="T58" s="24"/>
      <c r="U58" s="24">
        <f t="shared" si="13"/>
        <v>622</v>
      </c>
      <c r="V58" s="24">
        <f t="shared" si="14"/>
        <v>683</v>
      </c>
      <c r="W58" s="24">
        <f t="shared" si="15"/>
        <v>711</v>
      </c>
      <c r="X58" s="24">
        <f t="shared" si="16"/>
        <v>819.79383000000018</v>
      </c>
      <c r="Y58" s="24">
        <f t="shared" si="17"/>
        <v>856.51610000000016</v>
      </c>
    </row>
    <row r="59" spans="1:25">
      <c r="A59" s="41" t="s">
        <v>78</v>
      </c>
      <c r="B59" s="21">
        <v>2025</v>
      </c>
      <c r="C59" s="21">
        <v>2053</v>
      </c>
      <c r="D59" s="21">
        <v>2108</v>
      </c>
      <c r="E59" s="21">
        <v>2440</v>
      </c>
      <c r="F59" s="21">
        <v>2228</v>
      </c>
      <c r="G59" s="21">
        <v>2223</v>
      </c>
      <c r="H59" s="21">
        <v>2275</v>
      </c>
      <c r="I59" s="21">
        <v>2347</v>
      </c>
      <c r="J59" s="21">
        <v>2471</v>
      </c>
      <c r="K59" s="21">
        <v>2442</v>
      </c>
      <c r="L59" s="21">
        <v>2519</v>
      </c>
      <c r="M59" s="21">
        <v>2589</v>
      </c>
      <c r="N59" s="21">
        <v>2471</v>
      </c>
      <c r="O59" s="21">
        <v>2573</v>
      </c>
      <c r="P59" s="46">
        <f>P5*Assumptions!B34</f>
        <v>2700</v>
      </c>
      <c r="Q59" s="23">
        <f>Q5*Assumptions!C34</f>
        <v>2715.8814000000007</v>
      </c>
      <c r="R59" s="23">
        <f>R5*Assumptions!D34</f>
        <v>2692.6020000000003</v>
      </c>
      <c r="S59" s="23">
        <f>S5*Assumptions!E34</f>
        <v>2837.5380000000005</v>
      </c>
      <c r="T59" s="24"/>
      <c r="U59" s="24">
        <f t="shared" si="13"/>
        <v>2440</v>
      </c>
      <c r="V59" s="24">
        <f t="shared" si="14"/>
        <v>2347</v>
      </c>
      <c r="W59" s="24">
        <f t="shared" si="15"/>
        <v>2589</v>
      </c>
      <c r="X59" s="24">
        <f t="shared" si="16"/>
        <v>2715.8814000000007</v>
      </c>
      <c r="Y59" s="24">
        <f t="shared" si="17"/>
        <v>2837.5380000000005</v>
      </c>
    </row>
    <row r="60" spans="1:25">
      <c r="A60" s="41" t="s">
        <v>79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1654</v>
      </c>
      <c r="K60" s="21">
        <v>1929</v>
      </c>
      <c r="L60" s="21">
        <v>1741</v>
      </c>
      <c r="M60" s="21">
        <v>1458</v>
      </c>
      <c r="N60" s="21">
        <v>0</v>
      </c>
      <c r="O60" s="21">
        <v>0</v>
      </c>
      <c r="P60" s="52">
        <v>0</v>
      </c>
      <c r="Q60" s="37">
        <v>0</v>
      </c>
      <c r="R60" s="37">
        <v>0</v>
      </c>
      <c r="S60" s="37">
        <v>0</v>
      </c>
      <c r="T60" s="24"/>
      <c r="U60" s="24">
        <f t="shared" si="13"/>
        <v>0</v>
      </c>
      <c r="V60" s="24">
        <f t="shared" si="14"/>
        <v>0</v>
      </c>
      <c r="W60" s="24">
        <f t="shared" si="15"/>
        <v>1458</v>
      </c>
      <c r="X60" s="24">
        <f t="shared" si="16"/>
        <v>0</v>
      </c>
      <c r="Y60" s="24">
        <f t="shared" si="17"/>
        <v>0</v>
      </c>
    </row>
    <row r="61" spans="1:25">
      <c r="A61" s="41" t="s">
        <v>80</v>
      </c>
      <c r="B61" s="21">
        <v>27</v>
      </c>
      <c r="C61" s="21">
        <v>25</v>
      </c>
      <c r="D61" s="21">
        <v>24</v>
      </c>
      <c r="E61" s="21">
        <v>21</v>
      </c>
      <c r="F61" s="21">
        <v>20</v>
      </c>
      <c r="G61" s="21">
        <v>24</v>
      </c>
      <c r="H61" s="21">
        <v>24</v>
      </c>
      <c r="I61" s="21">
        <v>25</v>
      </c>
      <c r="J61" s="21">
        <v>39</v>
      </c>
      <c r="K61" s="21">
        <v>47</v>
      </c>
      <c r="L61" s="21">
        <v>50</v>
      </c>
      <c r="M61" s="21">
        <v>51</v>
      </c>
      <c r="N61" s="21">
        <v>49</v>
      </c>
      <c r="O61" s="21">
        <v>45</v>
      </c>
      <c r="P61" s="46">
        <f>Assumptions!B36</f>
        <v>45</v>
      </c>
      <c r="Q61" s="23">
        <f>Assumptions!C36</f>
        <v>45</v>
      </c>
      <c r="R61" s="23">
        <f>Assumptions!D36</f>
        <v>45</v>
      </c>
      <c r="S61" s="23">
        <f>Assumptions!E36</f>
        <v>45</v>
      </c>
      <c r="T61" s="24"/>
      <c r="U61" s="24">
        <f t="shared" si="13"/>
        <v>21</v>
      </c>
      <c r="V61" s="24">
        <f t="shared" si="14"/>
        <v>25</v>
      </c>
      <c r="W61" s="24">
        <f t="shared" si="15"/>
        <v>51</v>
      </c>
      <c r="X61" s="24">
        <f t="shared" si="16"/>
        <v>45</v>
      </c>
      <c r="Y61" s="24">
        <f t="shared" si="17"/>
        <v>45</v>
      </c>
    </row>
    <row r="62" spans="1:25">
      <c r="A62" s="41" t="s">
        <v>81</v>
      </c>
      <c r="B62" s="21">
        <v>24</v>
      </c>
      <c r="C62" s="21">
        <v>28</v>
      </c>
      <c r="D62" s="21">
        <v>17</v>
      </c>
      <c r="E62" s="21">
        <v>17</v>
      </c>
      <c r="F62" s="21">
        <v>22</v>
      </c>
      <c r="G62" s="21">
        <v>47</v>
      </c>
      <c r="H62" s="21">
        <v>22</v>
      </c>
      <c r="I62" s="21">
        <v>20</v>
      </c>
      <c r="J62" s="21">
        <v>22</v>
      </c>
      <c r="K62" s="21">
        <v>16</v>
      </c>
      <c r="L62" s="21">
        <v>13</v>
      </c>
      <c r="M62" s="21">
        <v>10</v>
      </c>
      <c r="N62" s="21">
        <v>18</v>
      </c>
      <c r="O62" s="21">
        <v>22</v>
      </c>
      <c r="P62" s="46">
        <f>Assumptions!B37</f>
        <v>20</v>
      </c>
      <c r="Q62" s="23">
        <f>Assumptions!C37</f>
        <v>20</v>
      </c>
      <c r="R62" s="23">
        <f>Assumptions!D37</f>
        <v>20</v>
      </c>
      <c r="S62" s="23">
        <f>Assumptions!E37</f>
        <v>20</v>
      </c>
      <c r="T62" s="24"/>
      <c r="U62" s="24">
        <f t="shared" si="13"/>
        <v>17</v>
      </c>
      <c r="V62" s="24">
        <f t="shared" si="14"/>
        <v>20</v>
      </c>
      <c r="W62" s="24">
        <f t="shared" si="15"/>
        <v>10</v>
      </c>
      <c r="X62" s="24">
        <f t="shared" si="16"/>
        <v>20</v>
      </c>
      <c r="Y62" s="24">
        <f t="shared" si="17"/>
        <v>20</v>
      </c>
    </row>
    <row r="63" spans="1:25">
      <c r="A63" s="42" t="s">
        <v>82</v>
      </c>
      <c r="B63" s="20">
        <f t="shared" ref="B63:S63" si="27">SUM(B56:B62)</f>
        <v>3459</v>
      </c>
      <c r="C63" s="20">
        <f t="shared" si="27"/>
        <v>3546</v>
      </c>
      <c r="D63" s="20">
        <f t="shared" si="27"/>
        <v>3701</v>
      </c>
      <c r="E63" s="20">
        <f t="shared" si="27"/>
        <v>4090</v>
      </c>
      <c r="F63" s="20">
        <f t="shared" si="27"/>
        <v>3966</v>
      </c>
      <c r="G63" s="20">
        <f t="shared" si="27"/>
        <v>4059</v>
      </c>
      <c r="H63" s="20">
        <f t="shared" si="27"/>
        <v>4106</v>
      </c>
      <c r="I63" s="20">
        <f t="shared" si="27"/>
        <v>4450</v>
      </c>
      <c r="J63" s="20">
        <f t="shared" si="27"/>
        <v>5965</v>
      </c>
      <c r="K63" s="20">
        <f t="shared" si="27"/>
        <v>6312</v>
      </c>
      <c r="L63" s="20">
        <f t="shared" si="27"/>
        <v>6239</v>
      </c>
      <c r="M63" s="20">
        <f t="shared" si="27"/>
        <v>6085</v>
      </c>
      <c r="N63" s="20">
        <f t="shared" si="27"/>
        <v>4688</v>
      </c>
      <c r="O63" s="20">
        <f t="shared" si="27"/>
        <v>4914</v>
      </c>
      <c r="P63" s="49">
        <f t="shared" si="27"/>
        <v>5186.3672200000001</v>
      </c>
      <c r="Q63" s="28">
        <f t="shared" si="27"/>
        <v>5248.301007827301</v>
      </c>
      <c r="R63" s="28">
        <f t="shared" si="27"/>
        <v>5232.3710964102283</v>
      </c>
      <c r="S63" s="28">
        <f t="shared" si="27"/>
        <v>5524.3568978955254</v>
      </c>
      <c r="T63" s="20"/>
      <c r="U63" s="20">
        <f t="shared" si="13"/>
        <v>4090</v>
      </c>
      <c r="V63" s="20">
        <f t="shared" si="14"/>
        <v>4450</v>
      </c>
      <c r="W63" s="20">
        <f t="shared" si="15"/>
        <v>6085</v>
      </c>
      <c r="X63" s="20">
        <f t="shared" si="16"/>
        <v>5248.301007827301</v>
      </c>
      <c r="Y63" s="20">
        <f t="shared" si="17"/>
        <v>5524.3568978955254</v>
      </c>
    </row>
    <row r="64" spans="1:25">
      <c r="A64" s="42" t="s">
        <v>83</v>
      </c>
      <c r="B64" s="20">
        <f t="shared" ref="B64:S64" si="28">B55+B63</f>
        <v>5187</v>
      </c>
      <c r="C64" s="20">
        <f t="shared" si="28"/>
        <v>5258</v>
      </c>
      <c r="D64" s="20">
        <f t="shared" si="28"/>
        <v>5453</v>
      </c>
      <c r="E64" s="20">
        <f t="shared" si="28"/>
        <v>5823</v>
      </c>
      <c r="F64" s="20">
        <f t="shared" si="28"/>
        <v>5766</v>
      </c>
      <c r="G64" s="20">
        <f t="shared" si="28"/>
        <v>5887</v>
      </c>
      <c r="H64" s="20">
        <f t="shared" si="28"/>
        <v>5920</v>
      </c>
      <c r="I64" s="20">
        <f t="shared" si="28"/>
        <v>6480</v>
      </c>
      <c r="J64" s="20">
        <f t="shared" si="28"/>
        <v>6440</v>
      </c>
      <c r="K64" s="20">
        <f t="shared" si="28"/>
        <v>6838</v>
      </c>
      <c r="L64" s="20">
        <f t="shared" si="28"/>
        <v>6910</v>
      </c>
      <c r="M64" s="20">
        <f t="shared" si="28"/>
        <v>6686</v>
      </c>
      <c r="N64" s="20">
        <f t="shared" si="28"/>
        <v>5118</v>
      </c>
      <c r="O64" s="20">
        <f t="shared" si="28"/>
        <v>5363</v>
      </c>
      <c r="P64" s="49">
        <f t="shared" si="28"/>
        <v>5627.2872200000002</v>
      </c>
      <c r="Q64" s="28">
        <f t="shared" si="28"/>
        <v>5681.3026078273006</v>
      </c>
      <c r="R64" s="28">
        <f t="shared" si="28"/>
        <v>5657.6126644102287</v>
      </c>
      <c r="S64" s="28">
        <f t="shared" si="28"/>
        <v>5941.9936345355254</v>
      </c>
      <c r="T64" s="20"/>
      <c r="U64" s="20">
        <f t="shared" si="13"/>
        <v>5823</v>
      </c>
      <c r="V64" s="20">
        <f t="shared" si="14"/>
        <v>6480</v>
      </c>
      <c r="W64" s="20">
        <f t="shared" si="15"/>
        <v>6686</v>
      </c>
      <c r="X64" s="20">
        <f t="shared" si="16"/>
        <v>5681.3026078273006</v>
      </c>
      <c r="Y64" s="20">
        <f t="shared" si="17"/>
        <v>5941.9936345355254</v>
      </c>
    </row>
    <row r="65" spans="1:25">
      <c r="A65" s="42" t="s">
        <v>84</v>
      </c>
      <c r="B65" s="20">
        <f t="shared" ref="B65:S65" si="29">B49+B64</f>
        <v>7529</v>
      </c>
      <c r="C65" s="20">
        <f t="shared" si="29"/>
        <v>7312</v>
      </c>
      <c r="D65" s="20">
        <f t="shared" si="29"/>
        <v>7592</v>
      </c>
      <c r="E65" s="20">
        <f t="shared" si="29"/>
        <v>8346</v>
      </c>
      <c r="F65" s="20">
        <f t="shared" si="29"/>
        <v>9075</v>
      </c>
      <c r="G65" s="20">
        <f t="shared" si="29"/>
        <v>10146</v>
      </c>
      <c r="H65" s="20">
        <f t="shared" si="29"/>
        <v>10553</v>
      </c>
      <c r="I65" s="20">
        <f t="shared" si="29"/>
        <v>12005</v>
      </c>
      <c r="J65" s="20">
        <f t="shared" si="29"/>
        <v>12687</v>
      </c>
      <c r="K65" s="20">
        <f t="shared" si="29"/>
        <v>13465</v>
      </c>
      <c r="L65" s="20">
        <f t="shared" si="29"/>
        <v>14689</v>
      </c>
      <c r="M65" s="20">
        <f t="shared" si="29"/>
        <v>15015</v>
      </c>
      <c r="N65" s="20">
        <f t="shared" si="29"/>
        <v>13128</v>
      </c>
      <c r="O65" s="20">
        <f t="shared" si="29"/>
        <v>13748</v>
      </c>
      <c r="P65" s="49">
        <f t="shared" si="29"/>
        <v>14335.897420000001</v>
      </c>
      <c r="Q65" s="28">
        <f t="shared" si="29"/>
        <v>14763.8875395703</v>
      </c>
      <c r="R65" s="28">
        <f t="shared" si="29"/>
        <v>15111.879674237247</v>
      </c>
      <c r="S65" s="28">
        <f t="shared" si="29"/>
        <v>15792.671767106596</v>
      </c>
      <c r="T65" s="20"/>
      <c r="U65" s="20">
        <f t="shared" si="13"/>
        <v>8346</v>
      </c>
      <c r="V65" s="20">
        <f t="shared" si="14"/>
        <v>12005</v>
      </c>
      <c r="W65" s="20">
        <f t="shared" si="15"/>
        <v>15015</v>
      </c>
      <c r="X65" s="20">
        <f t="shared" si="16"/>
        <v>14763.8875395703</v>
      </c>
      <c r="Y65" s="20">
        <f t="shared" si="17"/>
        <v>15792.671767106596</v>
      </c>
    </row>
    <row r="66" spans="1:25">
      <c r="A66" s="42" t="s">
        <v>85</v>
      </c>
      <c r="B66" s="38">
        <f t="shared" ref="B66:S66" si="30">B43-B65</f>
        <v>0</v>
      </c>
      <c r="C66" s="38">
        <f t="shared" si="30"/>
        <v>0</v>
      </c>
      <c r="D66" s="38">
        <f t="shared" si="30"/>
        <v>0</v>
      </c>
      <c r="E66" s="38">
        <f t="shared" si="30"/>
        <v>0</v>
      </c>
      <c r="F66" s="38">
        <f t="shared" si="30"/>
        <v>0</v>
      </c>
      <c r="G66" s="38">
        <f t="shared" si="30"/>
        <v>0</v>
      </c>
      <c r="H66" s="38">
        <f t="shared" si="30"/>
        <v>0</v>
      </c>
      <c r="I66" s="38">
        <f t="shared" si="30"/>
        <v>0</v>
      </c>
      <c r="J66" s="38">
        <f t="shared" si="30"/>
        <v>0</v>
      </c>
      <c r="K66" s="38">
        <f t="shared" si="30"/>
        <v>0</v>
      </c>
      <c r="L66" s="38">
        <f t="shared" si="30"/>
        <v>0</v>
      </c>
      <c r="M66" s="38">
        <f t="shared" si="30"/>
        <v>0</v>
      </c>
      <c r="N66" s="38">
        <f t="shared" si="30"/>
        <v>0</v>
      </c>
      <c r="O66" s="38">
        <f t="shared" si="30"/>
        <v>0</v>
      </c>
      <c r="P66" s="53">
        <f t="shared" si="30"/>
        <v>0</v>
      </c>
      <c r="Q66" s="39">
        <f t="shared" si="30"/>
        <v>0</v>
      </c>
      <c r="R66" s="39">
        <f t="shared" si="30"/>
        <v>0</v>
      </c>
      <c r="S66" s="39">
        <f t="shared" si="30"/>
        <v>0</v>
      </c>
      <c r="T66" s="38"/>
      <c r="U66" s="38">
        <f t="shared" si="13"/>
        <v>0</v>
      </c>
      <c r="V66" s="38">
        <f t="shared" si="14"/>
        <v>0</v>
      </c>
      <c r="W66" s="38">
        <f t="shared" si="15"/>
        <v>0</v>
      </c>
      <c r="X66" s="38">
        <f t="shared" si="16"/>
        <v>0</v>
      </c>
      <c r="Y66" s="38">
        <f t="shared" si="17"/>
        <v>0</v>
      </c>
    </row>
    <row r="67" spans="1:25">
      <c r="A67" s="4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44"/>
      <c r="Q67" s="16"/>
      <c r="R67" s="16"/>
      <c r="S67" s="16"/>
      <c r="T67" s="15"/>
      <c r="U67" s="15"/>
      <c r="V67" s="15"/>
      <c r="W67" s="15"/>
      <c r="X67" s="15"/>
      <c r="Y67" s="15"/>
    </row>
    <row r="68" spans="1:25">
      <c r="A68" s="4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44"/>
      <c r="Q68" s="16"/>
      <c r="R68" s="16"/>
      <c r="S68" s="16"/>
      <c r="T68" s="15"/>
      <c r="U68" s="15"/>
      <c r="V68" s="15"/>
      <c r="W68" s="15"/>
      <c r="X68" s="15"/>
      <c r="Y68" s="15"/>
    </row>
    <row r="69" spans="1:25" ht="32" customHeight="1">
      <c r="A69" s="107" t="s">
        <v>86</v>
      </c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9"/>
      <c r="Q69" s="110"/>
      <c r="R69" s="110"/>
      <c r="S69" s="110"/>
      <c r="T69" s="108"/>
      <c r="U69" s="108"/>
      <c r="V69" s="108"/>
      <c r="W69" s="108"/>
      <c r="X69" s="108"/>
      <c r="Y69" s="108"/>
    </row>
    <row r="70" spans="1:25">
      <c r="A70" s="41" t="s">
        <v>41</v>
      </c>
      <c r="B70" s="22">
        <f>'Raw Numbers'!$B$27</f>
        <v>-225</v>
      </c>
      <c r="C70" s="22">
        <f>'Raw Numbers'!$C$27-'Raw Numbers'!$B$27</f>
        <v>-302</v>
      </c>
      <c r="D70" s="22">
        <f>'Raw Numbers'!$D$27-'Raw Numbers'!$C$27</f>
        <v>65</v>
      </c>
      <c r="E70" s="22">
        <f>'Raw Numbers'!$E$27-'Raw Numbers'!$D$27</f>
        <v>-70</v>
      </c>
      <c r="F70" s="22">
        <f>'Raw Numbers'!$F$27</f>
        <v>197</v>
      </c>
      <c r="G70" s="22">
        <f>'Raw Numbers'!$G$27-'Raw Numbers'!$F$27</f>
        <v>274</v>
      </c>
      <c r="H70" s="22">
        <f>'Raw Numbers'!$H$27-'Raw Numbers'!$G$27</f>
        <v>300</v>
      </c>
      <c r="I70" s="22">
        <f>'Raw Numbers'!$I$27-'Raw Numbers'!$H$27</f>
        <v>367</v>
      </c>
      <c r="J70" s="22">
        <f>'Raw Numbers'!$J$27</f>
        <v>225</v>
      </c>
      <c r="K70" s="22">
        <f>'Raw Numbers'!$K$27-'Raw Numbers'!$J$27</f>
        <v>-86</v>
      </c>
      <c r="L70" s="22">
        <f>'Raw Numbers'!$L$27-'Raw Numbers'!$K$27</f>
        <v>899</v>
      </c>
      <c r="M70" s="22">
        <f>'Raw Numbers'!$M$27-'Raw Numbers'!$L$27</f>
        <v>1174</v>
      </c>
      <c r="N70" s="22">
        <f>'Raw Numbers'!$N$27</f>
        <v>721</v>
      </c>
      <c r="O70" s="22">
        <f>'Raw Numbers'!$O$27-'Raw Numbers'!$N$27</f>
        <v>545</v>
      </c>
      <c r="P70" s="46">
        <f>P20</f>
        <v>554.53019999999992</v>
      </c>
      <c r="Q70" s="23">
        <f>Q20</f>
        <v>606.85001924300013</v>
      </c>
      <c r="R70" s="23">
        <f>R20</f>
        <v>604.96289608401776</v>
      </c>
      <c r="S70" s="23">
        <f>S20</f>
        <v>628.14758913405296</v>
      </c>
      <c r="T70" s="24"/>
      <c r="U70" s="24">
        <f t="shared" ref="U70:U104" si="31">SUM(B70,C70,D70,E70)</f>
        <v>-532</v>
      </c>
      <c r="V70" s="24">
        <f t="shared" ref="V70:V104" si="32">SUM(F70,G70,H70,I70)</f>
        <v>1138</v>
      </c>
      <c r="W70" s="24">
        <f t="shared" ref="W70:W104" si="33">SUM(J70,K70,L70,M70)</f>
        <v>2212</v>
      </c>
      <c r="X70" s="24">
        <f t="shared" ref="X70:X104" si="34">SUM(N70,O70,P70,Q70)</f>
        <v>2427.3802192430003</v>
      </c>
      <c r="Y70" s="24">
        <f t="shared" ref="Y70:Y104" si="35">SUM(P70,Q70,R70,S70)</f>
        <v>2394.4907044610709</v>
      </c>
    </row>
    <row r="71" spans="1:25">
      <c r="A71" s="41" t="s">
        <v>87</v>
      </c>
      <c r="B71" s="22">
        <f>'Raw Numbers'!$B$28</f>
        <v>31</v>
      </c>
      <c r="C71" s="22">
        <f>'Raw Numbers'!$C$28-'Raw Numbers'!$B$28</f>
        <v>30</v>
      </c>
      <c r="D71" s="22">
        <f>'Raw Numbers'!$D$28-'Raw Numbers'!$C$28</f>
        <v>26</v>
      </c>
      <c r="E71" s="22">
        <f>'Raw Numbers'!$E$28-'Raw Numbers'!$D$28</f>
        <v>23</v>
      </c>
      <c r="F71" s="22">
        <f>'Raw Numbers'!$F$28</f>
        <v>22</v>
      </c>
      <c r="G71" s="22">
        <f>'Raw Numbers'!$G$28-'Raw Numbers'!$F$28</f>
        <v>21</v>
      </c>
      <c r="H71" s="22">
        <f>'Raw Numbers'!$H$28-'Raw Numbers'!$G$28</f>
        <v>21</v>
      </c>
      <c r="I71" s="22">
        <f>'Raw Numbers'!$I$28-'Raw Numbers'!$H$28</f>
        <v>21</v>
      </c>
      <c r="J71" s="22">
        <f>'Raw Numbers'!$J$28</f>
        <v>20</v>
      </c>
      <c r="K71" s="22">
        <f>'Raw Numbers'!$K$28-'Raw Numbers'!$J$28</f>
        <v>20</v>
      </c>
      <c r="L71" s="22">
        <f>'Raw Numbers'!$L$28-'Raw Numbers'!$K$28</f>
        <v>19</v>
      </c>
      <c r="M71" s="22">
        <f>'Raw Numbers'!$M$28-'Raw Numbers'!$L$28</f>
        <v>20</v>
      </c>
      <c r="N71" s="22">
        <f>'Raw Numbers'!$N$28</f>
        <v>20</v>
      </c>
      <c r="O71" s="22">
        <f>'Raw Numbers'!$O$28-'Raw Numbers'!$N$28</f>
        <v>24</v>
      </c>
      <c r="P71" s="46">
        <f>P5*Assumptions!B19</f>
        <v>25</v>
      </c>
      <c r="Q71" s="23">
        <f>Q5*Assumptions!C19</f>
        <v>25.147050000000004</v>
      </c>
      <c r="R71" s="23">
        <f>R5*Assumptions!D19</f>
        <v>24.9315</v>
      </c>
      <c r="S71" s="23">
        <f>S5*Assumptions!E19</f>
        <v>26.273500000000006</v>
      </c>
      <c r="T71" s="24"/>
      <c r="U71" s="24">
        <f t="shared" si="31"/>
        <v>110</v>
      </c>
      <c r="V71" s="24">
        <f t="shared" si="32"/>
        <v>85</v>
      </c>
      <c r="W71" s="24">
        <f t="shared" si="33"/>
        <v>79</v>
      </c>
      <c r="X71" s="24">
        <f t="shared" si="34"/>
        <v>94.147050000000007</v>
      </c>
      <c r="Y71" s="24">
        <f t="shared" si="35"/>
        <v>101.35205000000002</v>
      </c>
    </row>
    <row r="72" spans="1:25">
      <c r="A72" s="41" t="s">
        <v>88</v>
      </c>
      <c r="B72" s="22">
        <f>'Raw Numbers'!$B$29</f>
        <v>13</v>
      </c>
      <c r="C72" s="22">
        <f>'Raw Numbers'!$C$29-'Raw Numbers'!$B$29</f>
        <v>14</v>
      </c>
      <c r="D72" s="22">
        <f>'Raw Numbers'!$D$29-'Raw Numbers'!$C$29</f>
        <v>10</v>
      </c>
      <c r="E72" s="22">
        <f>'Raw Numbers'!$E$29-'Raw Numbers'!$D$29</f>
        <v>11</v>
      </c>
      <c r="F72" s="22">
        <f>'Raw Numbers'!$F$29</f>
        <v>9</v>
      </c>
      <c r="G72" s="22">
        <f>'Raw Numbers'!$G$29-'Raw Numbers'!$F$29</f>
        <v>9</v>
      </c>
      <c r="H72" s="22">
        <f>'Raw Numbers'!$H$29-'Raw Numbers'!$G$29</f>
        <v>9</v>
      </c>
      <c r="I72" s="22">
        <f>'Raw Numbers'!$I$29-'Raw Numbers'!$H$29</f>
        <v>9</v>
      </c>
      <c r="J72" s="22">
        <f>'Raw Numbers'!$J$29</f>
        <v>7</v>
      </c>
      <c r="K72" s="22">
        <f>'Raw Numbers'!$K$29-'Raw Numbers'!$J$29</f>
        <v>6</v>
      </c>
      <c r="L72" s="22">
        <f>'Raw Numbers'!$L$29-'Raw Numbers'!$K$29</f>
        <v>5</v>
      </c>
      <c r="M72" s="22">
        <f>'Raw Numbers'!$M$29-'Raw Numbers'!$L$29</f>
        <v>5</v>
      </c>
      <c r="N72" s="22">
        <f>'Raw Numbers'!$N$29</f>
        <v>6</v>
      </c>
      <c r="O72" s="22">
        <f>'Raw Numbers'!$O$29-'Raw Numbers'!$N$29</f>
        <v>5</v>
      </c>
      <c r="P72" s="46">
        <f>P5*Assumptions!B20</f>
        <v>5</v>
      </c>
      <c r="Q72" s="23">
        <f>Q5*Assumptions!C20</f>
        <v>5.0294100000000013</v>
      </c>
      <c r="R72" s="23">
        <f>R5*Assumptions!D20</f>
        <v>4.9863</v>
      </c>
      <c r="S72" s="23">
        <f>S5*Assumptions!E20</f>
        <v>5.2547000000000006</v>
      </c>
      <c r="T72" s="24"/>
      <c r="U72" s="24">
        <f t="shared" si="31"/>
        <v>48</v>
      </c>
      <c r="V72" s="24">
        <f t="shared" si="32"/>
        <v>36</v>
      </c>
      <c r="W72" s="24">
        <f t="shared" si="33"/>
        <v>23</v>
      </c>
      <c r="X72" s="24">
        <f t="shared" si="34"/>
        <v>21.029410000000002</v>
      </c>
      <c r="Y72" s="24">
        <f t="shared" si="35"/>
        <v>20.270410000000002</v>
      </c>
    </row>
    <row r="73" spans="1:25">
      <c r="A73" s="41" t="s">
        <v>89</v>
      </c>
      <c r="B73" s="22">
        <f>'Raw Numbers'!$B$30</f>
        <v>0</v>
      </c>
      <c r="C73" s="22">
        <f>'Raw Numbers'!$C$30-'Raw Numbers'!$B$30</f>
        <v>90</v>
      </c>
      <c r="D73" s="22">
        <f>'Raw Numbers'!$D$30-'Raw Numbers'!$C$30</f>
        <v>0</v>
      </c>
      <c r="E73" s="22">
        <f>'Raw Numbers'!$E$30-'Raw Numbers'!$D$30</f>
        <v>33</v>
      </c>
      <c r="F73" s="22">
        <f>'Raw Numbers'!$F$30</f>
        <v>4</v>
      </c>
      <c r="G73" s="22">
        <f>'Raw Numbers'!$G$30-'Raw Numbers'!$F$30</f>
        <v>14</v>
      </c>
      <c r="H73" s="22">
        <f>'Raw Numbers'!$H$30-'Raw Numbers'!$G$30</f>
        <v>0</v>
      </c>
      <c r="I73" s="22">
        <f>'Raw Numbers'!$I$30-'Raw Numbers'!$H$30</f>
        <v>25</v>
      </c>
      <c r="J73" s="22">
        <f>'Raw Numbers'!$J$30</f>
        <v>2</v>
      </c>
      <c r="K73" s="22">
        <f>'Raw Numbers'!$K$30-'Raw Numbers'!$J$30</f>
        <v>1</v>
      </c>
      <c r="L73" s="22">
        <f>'Raw Numbers'!$L$30-'Raw Numbers'!$K$30</f>
        <v>5</v>
      </c>
      <c r="M73" s="22">
        <f>'Raw Numbers'!$M$30-'Raw Numbers'!$L$30</f>
        <v>0</v>
      </c>
      <c r="N73" s="22">
        <f>'Raw Numbers'!$N$30</f>
        <v>4</v>
      </c>
      <c r="O73" s="22">
        <f>'Raw Numbers'!$O$30-'Raw Numbers'!$N$30</f>
        <v>0</v>
      </c>
      <c r="P73" s="52">
        <v>0</v>
      </c>
      <c r="Q73" s="37">
        <v>0</v>
      </c>
      <c r="R73" s="37">
        <v>0</v>
      </c>
      <c r="S73" s="37">
        <v>0</v>
      </c>
      <c r="T73" s="24"/>
      <c r="U73" s="24">
        <f t="shared" si="31"/>
        <v>123</v>
      </c>
      <c r="V73" s="24">
        <f t="shared" si="32"/>
        <v>43</v>
      </c>
      <c r="W73" s="24">
        <f t="shared" si="33"/>
        <v>8</v>
      </c>
      <c r="X73" s="24">
        <f t="shared" si="34"/>
        <v>4</v>
      </c>
      <c r="Y73" s="24">
        <f t="shared" si="35"/>
        <v>0</v>
      </c>
    </row>
    <row r="74" spans="1:25">
      <c r="A74" s="41" t="s">
        <v>90</v>
      </c>
      <c r="B74" s="22">
        <f>'Raw Numbers'!$B$31</f>
        <v>0</v>
      </c>
      <c r="C74" s="22">
        <f>'Raw Numbers'!$C$31-'Raw Numbers'!$B$31</f>
        <v>30</v>
      </c>
      <c r="D74" s="22">
        <f>'Raw Numbers'!$D$31-'Raw Numbers'!$C$31</f>
        <v>0</v>
      </c>
      <c r="E74" s="22">
        <f>'Raw Numbers'!$E$31-'Raw Numbers'!$D$31</f>
        <v>-1</v>
      </c>
      <c r="F74" s="22">
        <f>'Raw Numbers'!$F$31</f>
        <v>0</v>
      </c>
      <c r="G74" s="22">
        <f>'Raw Numbers'!$G$31-'Raw Numbers'!$F$31</f>
        <v>0</v>
      </c>
      <c r="H74" s="22">
        <f>'Raw Numbers'!$H$31-'Raw Numbers'!$G$31</f>
        <v>0</v>
      </c>
      <c r="I74" s="22">
        <f>'Raw Numbers'!$I$31-'Raw Numbers'!$H$31</f>
        <v>0</v>
      </c>
      <c r="J74" s="22">
        <f>'Raw Numbers'!$J$31</f>
        <v>0</v>
      </c>
      <c r="K74" s="22">
        <f>'Raw Numbers'!$K$31-'Raw Numbers'!$J$31</f>
        <v>0</v>
      </c>
      <c r="L74" s="22">
        <f>'Raw Numbers'!$L$31-'Raw Numbers'!$K$31</f>
        <v>0</v>
      </c>
      <c r="M74" s="22">
        <f>'Raw Numbers'!$M$31-'Raw Numbers'!$L$31</f>
        <v>0</v>
      </c>
      <c r="N74" s="22">
        <f>'Raw Numbers'!$N$31</f>
        <v>0</v>
      </c>
      <c r="O74" s="22">
        <f>'Raw Numbers'!$O$31-'Raw Numbers'!$N$31</f>
        <v>0</v>
      </c>
      <c r="P74" s="52">
        <v>0</v>
      </c>
      <c r="Q74" s="37">
        <v>0</v>
      </c>
      <c r="R74" s="37">
        <v>0</v>
      </c>
      <c r="S74" s="37">
        <v>0</v>
      </c>
      <c r="T74" s="24"/>
      <c r="U74" s="24">
        <f t="shared" si="31"/>
        <v>29</v>
      </c>
      <c r="V74" s="24">
        <f t="shared" si="32"/>
        <v>0</v>
      </c>
      <c r="W74" s="24">
        <f t="shared" si="33"/>
        <v>0</v>
      </c>
      <c r="X74" s="24">
        <f t="shared" si="34"/>
        <v>0</v>
      </c>
      <c r="Y74" s="24">
        <f t="shared" si="35"/>
        <v>0</v>
      </c>
    </row>
    <row r="75" spans="1:25">
      <c r="A75" s="41" t="s">
        <v>91</v>
      </c>
      <c r="B75" s="22">
        <f>'Raw Numbers'!$B$32</f>
        <v>105</v>
      </c>
      <c r="C75" s="22">
        <f>'Raw Numbers'!$C$32-'Raw Numbers'!$B$32</f>
        <v>97</v>
      </c>
      <c r="D75" s="22">
        <f>'Raw Numbers'!$D$32-'Raw Numbers'!$C$32</f>
        <v>85</v>
      </c>
      <c r="E75" s="22">
        <f>'Raw Numbers'!$E$32-'Raw Numbers'!$D$32</f>
        <v>34</v>
      </c>
      <c r="F75" s="22">
        <f>'Raw Numbers'!$F$32</f>
        <v>69</v>
      </c>
      <c r="G75" s="22">
        <f>'Raw Numbers'!$G$32-'Raw Numbers'!$F$32</f>
        <v>81</v>
      </c>
      <c r="H75" s="22">
        <f>'Raw Numbers'!$H$32-'Raw Numbers'!$G$32</f>
        <v>63</v>
      </c>
      <c r="I75" s="22">
        <f>'Raw Numbers'!$I$32-'Raw Numbers'!$H$32</f>
        <v>54</v>
      </c>
      <c r="J75" s="22">
        <f>'Raw Numbers'!$J$32</f>
        <v>42</v>
      </c>
      <c r="K75" s="22">
        <f>'Raw Numbers'!$K$32-'Raw Numbers'!$J$32</f>
        <v>73</v>
      </c>
      <c r="L75" s="22">
        <f>'Raw Numbers'!$L$32-'Raw Numbers'!$K$32</f>
        <v>75</v>
      </c>
      <c r="M75" s="22">
        <f>'Raw Numbers'!$M$32-'Raw Numbers'!$L$32</f>
        <v>57</v>
      </c>
      <c r="N75" s="22">
        <f>'Raw Numbers'!$N$32</f>
        <v>56</v>
      </c>
      <c r="O75" s="22">
        <f>'Raw Numbers'!$O$32-'Raw Numbers'!$N$32</f>
        <v>86</v>
      </c>
      <c r="P75" s="46">
        <f>P5*Assumptions!B21</f>
        <v>80</v>
      </c>
      <c r="Q75" s="23">
        <f>Q5*Assumptions!C21</f>
        <v>80.47056000000002</v>
      </c>
      <c r="R75" s="23">
        <f>R5*Assumptions!D21</f>
        <v>79.780799999999999</v>
      </c>
      <c r="S75" s="23">
        <f>S5*Assumptions!E21</f>
        <v>84.075200000000009</v>
      </c>
      <c r="T75" s="24"/>
      <c r="U75" s="24">
        <f t="shared" si="31"/>
        <v>321</v>
      </c>
      <c r="V75" s="24">
        <f t="shared" si="32"/>
        <v>267</v>
      </c>
      <c r="W75" s="24">
        <f t="shared" si="33"/>
        <v>247</v>
      </c>
      <c r="X75" s="24">
        <f t="shared" si="34"/>
        <v>302.47056000000003</v>
      </c>
      <c r="Y75" s="24">
        <f t="shared" si="35"/>
        <v>324.32656000000003</v>
      </c>
    </row>
    <row r="76" spans="1:25">
      <c r="A76" s="41" t="s">
        <v>36</v>
      </c>
      <c r="B76" s="22">
        <f>'Raw Numbers'!$B$33</f>
        <v>-27</v>
      </c>
      <c r="C76" s="22">
        <f>'Raw Numbers'!$C$33-'Raw Numbers'!$B$33</f>
        <v>-33</v>
      </c>
      <c r="D76" s="22">
        <f>'Raw Numbers'!$D$33-'Raw Numbers'!$C$33</f>
        <v>-55</v>
      </c>
      <c r="E76" s="22">
        <f>'Raw Numbers'!$E$33-'Raw Numbers'!$D$33</f>
        <v>-46</v>
      </c>
      <c r="F76" s="22">
        <f>'Raw Numbers'!$F$33</f>
        <v>-59</v>
      </c>
      <c r="G76" s="22">
        <f>'Raw Numbers'!$G$33-'Raw Numbers'!$F$33</f>
        <v>-76</v>
      </c>
      <c r="H76" s="22">
        <f>'Raw Numbers'!$H$33-'Raw Numbers'!$G$33</f>
        <v>-66</v>
      </c>
      <c r="I76" s="22">
        <f>'Raw Numbers'!$I$33-'Raw Numbers'!$H$33</f>
        <v>-127</v>
      </c>
      <c r="J76" s="22">
        <f>'Raw Numbers'!$J$33</f>
        <v>-71</v>
      </c>
      <c r="K76" s="22">
        <f>'Raw Numbers'!$K$33-'Raw Numbers'!$J$33</f>
        <v>-89</v>
      </c>
      <c r="L76" s="22">
        <f>'Raw Numbers'!$L$33-'Raw Numbers'!$K$33</f>
        <v>-262</v>
      </c>
      <c r="M76" s="22">
        <f>'Raw Numbers'!$M$33-'Raw Numbers'!$L$33</f>
        <v>130</v>
      </c>
      <c r="N76" s="22">
        <f>'Raw Numbers'!$N$33</f>
        <v>-248</v>
      </c>
      <c r="O76" s="22">
        <f>'Raw Numbers'!$O$33-'Raw Numbers'!$N$33</f>
        <v>-86</v>
      </c>
      <c r="P76" s="46">
        <f t="shared" ref="P76:S77" si="36">-P15</f>
        <v>-82.14500000000001</v>
      </c>
      <c r="Q76" s="23">
        <f t="shared" si="36"/>
        <v>-86.82535242500002</v>
      </c>
      <c r="R76" s="23">
        <f t="shared" si="36"/>
        <v>-90.442360636865146</v>
      </c>
      <c r="S76" s="23">
        <f t="shared" si="36"/>
        <v>-93.479335702700894</v>
      </c>
      <c r="T76" s="24"/>
      <c r="U76" s="24">
        <f t="shared" si="31"/>
        <v>-161</v>
      </c>
      <c r="V76" s="24">
        <f t="shared" si="32"/>
        <v>-328</v>
      </c>
      <c r="W76" s="24">
        <f t="shared" si="33"/>
        <v>-292</v>
      </c>
      <c r="X76" s="24">
        <f t="shared" si="34"/>
        <v>-502.97035242499999</v>
      </c>
      <c r="Y76" s="24">
        <f t="shared" si="35"/>
        <v>-352.89204876456608</v>
      </c>
    </row>
    <row r="77" spans="1:25">
      <c r="A77" s="41" t="s">
        <v>37</v>
      </c>
      <c r="B77" s="22">
        <f>'Raw Numbers'!$B$34</f>
        <v>77</v>
      </c>
      <c r="C77" s="22">
        <f>'Raw Numbers'!$C$34-'Raw Numbers'!$B$34</f>
        <v>27</v>
      </c>
      <c r="D77" s="22">
        <f>'Raw Numbers'!$D$34-'Raw Numbers'!$C$34</f>
        <v>14</v>
      </c>
      <c r="E77" s="22">
        <f>'Raw Numbers'!$E$34-'Raw Numbers'!$D$34</f>
        <v>102</v>
      </c>
      <c r="F77" s="22">
        <f>'Raw Numbers'!$F$34</f>
        <v>53</v>
      </c>
      <c r="G77" s="22">
        <f>'Raw Numbers'!$G$34-'Raw Numbers'!$F$34</f>
        <v>72</v>
      </c>
      <c r="H77" s="22">
        <f>'Raw Numbers'!$H$34-'Raw Numbers'!$G$34</f>
        <v>122</v>
      </c>
      <c r="I77" s="22">
        <f>'Raw Numbers'!$I$34-'Raw Numbers'!$H$34</f>
        <v>105</v>
      </c>
      <c r="J77" s="22">
        <f>'Raw Numbers'!$J$34</f>
        <v>252</v>
      </c>
      <c r="K77" s="22">
        <f>'Raw Numbers'!$K$34-'Raw Numbers'!$J$34</f>
        <v>447</v>
      </c>
      <c r="L77" s="22">
        <f>'Raw Numbers'!$L$34-'Raw Numbers'!$K$34</f>
        <v>17</v>
      </c>
      <c r="M77" s="22">
        <f>'Raw Numbers'!$M$34-'Raw Numbers'!$L$34</f>
        <v>-450</v>
      </c>
      <c r="N77" s="22">
        <f>'Raw Numbers'!$N$34</f>
        <v>26</v>
      </c>
      <c r="O77" s="22">
        <f>'Raw Numbers'!$O$34-'Raw Numbers'!$N$34</f>
        <v>21</v>
      </c>
      <c r="P77" s="46">
        <f t="shared" si="36"/>
        <v>22.5</v>
      </c>
      <c r="Q77" s="23">
        <f t="shared" si="36"/>
        <v>22.632345000000001</v>
      </c>
      <c r="R77" s="23">
        <f t="shared" si="36"/>
        <v>22.43835</v>
      </c>
      <c r="S77" s="23">
        <f t="shared" si="36"/>
        <v>23.646150000000002</v>
      </c>
      <c r="T77" s="24"/>
      <c r="U77" s="24">
        <f t="shared" si="31"/>
        <v>220</v>
      </c>
      <c r="V77" s="24">
        <f t="shared" si="32"/>
        <v>352</v>
      </c>
      <c r="W77" s="24">
        <f t="shared" si="33"/>
        <v>266</v>
      </c>
      <c r="X77" s="24">
        <f t="shared" si="34"/>
        <v>92.132345000000001</v>
      </c>
      <c r="Y77" s="24">
        <f t="shared" si="35"/>
        <v>91.216845000000006</v>
      </c>
    </row>
    <row r="78" spans="1:25">
      <c r="A78" s="41" t="s">
        <v>40</v>
      </c>
      <c r="B78" s="22">
        <f>'Raw Numbers'!$B$35</f>
        <v>19</v>
      </c>
      <c r="C78" s="22">
        <f>'Raw Numbers'!$C$35-'Raw Numbers'!$B$35</f>
        <v>61</v>
      </c>
      <c r="D78" s="22">
        <f>'Raw Numbers'!$D$35-'Raw Numbers'!$C$35</f>
        <v>8</v>
      </c>
      <c r="E78" s="22">
        <f>'Raw Numbers'!$E$35-'Raw Numbers'!$D$35</f>
        <v>-61</v>
      </c>
      <c r="F78" s="22">
        <f>'Raw Numbers'!$F$35</f>
        <v>-23</v>
      </c>
      <c r="G78" s="22">
        <f>'Raw Numbers'!$G$35-'Raw Numbers'!$F$35</f>
        <v>-4</v>
      </c>
      <c r="H78" s="22">
        <f>'Raw Numbers'!$H$35-'Raw Numbers'!$G$35</f>
        <v>98</v>
      </c>
      <c r="I78" s="22">
        <f>'Raw Numbers'!$I$35-'Raw Numbers'!$H$35</f>
        <v>132</v>
      </c>
      <c r="J78" s="22">
        <f>'Raw Numbers'!$J$35</f>
        <v>103</v>
      </c>
      <c r="K78" s="22">
        <f>'Raw Numbers'!$K$35-'Raw Numbers'!$J$35</f>
        <v>134</v>
      </c>
      <c r="L78" s="22">
        <f>'Raw Numbers'!$L$35-'Raw Numbers'!$K$35</f>
        <v>-72</v>
      </c>
      <c r="M78" s="22">
        <f>'Raw Numbers'!$M$35-'Raw Numbers'!$L$35</f>
        <v>-153</v>
      </c>
      <c r="N78" s="22">
        <f>'Raw Numbers'!$N$35</f>
        <v>216</v>
      </c>
      <c r="O78" s="22">
        <f>'Raw Numbers'!$O$35-'Raw Numbers'!$N$35</f>
        <v>175</v>
      </c>
      <c r="P78" s="46">
        <f>P19</f>
        <v>175.1148</v>
      </c>
      <c r="Q78" s="23">
        <f>Q19</f>
        <v>191.63684818200002</v>
      </c>
      <c r="R78" s="23">
        <f>R19</f>
        <v>191.04091455284768</v>
      </c>
      <c r="S78" s="23">
        <f>S19</f>
        <v>198.36239656864828</v>
      </c>
      <c r="T78" s="24"/>
      <c r="U78" s="24">
        <f t="shared" si="31"/>
        <v>27</v>
      </c>
      <c r="V78" s="24">
        <f t="shared" si="32"/>
        <v>203</v>
      </c>
      <c r="W78" s="24">
        <f t="shared" si="33"/>
        <v>12</v>
      </c>
      <c r="X78" s="24">
        <f t="shared" si="34"/>
        <v>757.75164818200005</v>
      </c>
      <c r="Y78" s="24">
        <f t="shared" si="35"/>
        <v>756.15495930349596</v>
      </c>
    </row>
    <row r="79" spans="1:25">
      <c r="A79" s="41" t="s">
        <v>92</v>
      </c>
      <c r="B79" s="22">
        <f>'Raw Numbers'!$B$36</f>
        <v>-5</v>
      </c>
      <c r="C79" s="22">
        <f>'Raw Numbers'!$C$36-'Raw Numbers'!$B$36</f>
        <v>2</v>
      </c>
      <c r="D79" s="22">
        <f>'Raw Numbers'!$D$36-'Raw Numbers'!$C$36</f>
        <v>-1</v>
      </c>
      <c r="E79" s="22">
        <f>'Raw Numbers'!$E$36-'Raw Numbers'!$D$36</f>
        <v>5</v>
      </c>
      <c r="F79" s="22">
        <f>'Raw Numbers'!$F$36</f>
        <v>0</v>
      </c>
      <c r="G79" s="22">
        <f>'Raw Numbers'!$G$36-'Raw Numbers'!$F$36</f>
        <v>-1</v>
      </c>
      <c r="H79" s="22">
        <f>'Raw Numbers'!$H$36-'Raw Numbers'!$G$36</f>
        <v>0</v>
      </c>
      <c r="I79" s="22">
        <f>'Raw Numbers'!$I$36-'Raw Numbers'!$H$36</f>
        <v>3</v>
      </c>
      <c r="J79" s="22">
        <f>'Raw Numbers'!$J$36</f>
        <v>0</v>
      </c>
      <c r="K79" s="22">
        <f>'Raw Numbers'!$K$36-'Raw Numbers'!$J$36</f>
        <v>8</v>
      </c>
      <c r="L79" s="22">
        <f>'Raw Numbers'!$L$36-'Raw Numbers'!$K$36</f>
        <v>1</v>
      </c>
      <c r="M79" s="22">
        <f>'Raw Numbers'!$M$36-'Raw Numbers'!$L$36</f>
        <v>1</v>
      </c>
      <c r="N79" s="22">
        <f>'Raw Numbers'!$N$36</f>
        <v>-2</v>
      </c>
      <c r="O79" s="22">
        <f>'Raw Numbers'!$O$36-'Raw Numbers'!$N$36</f>
        <v>1</v>
      </c>
      <c r="P79" s="52">
        <v>0</v>
      </c>
      <c r="Q79" s="37">
        <v>0</v>
      </c>
      <c r="R79" s="37">
        <v>0</v>
      </c>
      <c r="S79" s="37">
        <v>0</v>
      </c>
      <c r="T79" s="24"/>
      <c r="U79" s="24">
        <f t="shared" si="31"/>
        <v>1</v>
      </c>
      <c r="V79" s="24">
        <f t="shared" si="32"/>
        <v>2</v>
      </c>
      <c r="W79" s="24">
        <f t="shared" si="33"/>
        <v>10</v>
      </c>
      <c r="X79" s="24">
        <f t="shared" si="34"/>
        <v>-1</v>
      </c>
      <c r="Y79" s="24">
        <f t="shared" si="35"/>
        <v>0</v>
      </c>
    </row>
    <row r="80" spans="1:25">
      <c r="A80" s="41" t="s">
        <v>93</v>
      </c>
      <c r="B80" s="22">
        <f>'Raw Numbers'!$B$37</f>
        <v>118</v>
      </c>
      <c r="C80" s="22">
        <f>'Raw Numbers'!$C$37-'Raw Numbers'!$B$37</f>
        <v>-97</v>
      </c>
      <c r="D80" s="22">
        <f>'Raw Numbers'!$D$37-'Raw Numbers'!$C$37</f>
        <v>-69</v>
      </c>
      <c r="E80" s="22">
        <f>'Raw Numbers'!$E$37-'Raw Numbers'!$D$37</f>
        <v>-97</v>
      </c>
      <c r="F80" s="22">
        <f>'Raw Numbers'!$F$37</f>
        <v>80</v>
      </c>
      <c r="G80" s="22">
        <f>'Raw Numbers'!$G$37-'Raw Numbers'!$F$37</f>
        <v>40</v>
      </c>
      <c r="H80" s="22">
        <f>'Raw Numbers'!$H$37-'Raw Numbers'!$G$37</f>
        <v>-4</v>
      </c>
      <c r="I80" s="22">
        <f>'Raw Numbers'!$I$37-'Raw Numbers'!$H$37</f>
        <v>29</v>
      </c>
      <c r="J80" s="22">
        <f>'Raw Numbers'!$J$37</f>
        <v>-4</v>
      </c>
      <c r="K80" s="22">
        <f>'Raw Numbers'!$K$37-'Raw Numbers'!$J$37</f>
        <v>-19</v>
      </c>
      <c r="L80" s="22">
        <f>'Raw Numbers'!$L$37-'Raw Numbers'!$K$37</f>
        <v>-26</v>
      </c>
      <c r="M80" s="22">
        <f>'Raw Numbers'!$M$37-'Raw Numbers'!$L$37</f>
        <v>-66</v>
      </c>
      <c r="N80" s="22">
        <f>'Raw Numbers'!$N$37</f>
        <v>91</v>
      </c>
      <c r="O80" s="22">
        <f>'Raw Numbers'!$O$37-'Raw Numbers'!$N$37</f>
        <v>-80</v>
      </c>
      <c r="P80" s="46">
        <f>-((P37+P38+P41)-(O37+O38+O41))</f>
        <v>-44</v>
      </c>
      <c r="Q80" s="23">
        <f>-((Q37+Q38+Q41)-(P37+P38+P41))</f>
        <v>-5.5290800000002491</v>
      </c>
      <c r="R80" s="23">
        <f>-((R37+R38+R41)-(Q37+Q38+Q41))</f>
        <v>8.104680000000144</v>
      </c>
      <c r="S80" s="23">
        <f>-((S37+S38+S41)-(R37+R38+R41))</f>
        <v>-50.45920000000001</v>
      </c>
      <c r="T80" s="24"/>
      <c r="U80" s="24">
        <f t="shared" si="31"/>
        <v>-145</v>
      </c>
      <c r="V80" s="24">
        <f t="shared" si="32"/>
        <v>145</v>
      </c>
      <c r="W80" s="24">
        <f t="shared" si="33"/>
        <v>-115</v>
      </c>
      <c r="X80" s="24">
        <f t="shared" si="34"/>
        <v>-38.529080000000249</v>
      </c>
      <c r="Y80" s="24">
        <f t="shared" si="35"/>
        <v>-91.883600000000115</v>
      </c>
    </row>
    <row r="81" spans="1:25">
      <c r="A81" s="41" t="s">
        <v>94</v>
      </c>
      <c r="B81" s="22">
        <f>'Raw Numbers'!$B$38</f>
        <v>-57</v>
      </c>
      <c r="C81" s="22">
        <f>'Raw Numbers'!$C$38-'Raw Numbers'!$B$38</f>
        <v>77</v>
      </c>
      <c r="D81" s="22">
        <f>'Raw Numbers'!$D$38-'Raw Numbers'!$C$38</f>
        <v>62</v>
      </c>
      <c r="E81" s="22">
        <f>'Raw Numbers'!$E$38-'Raw Numbers'!$D$38</f>
        <v>419</v>
      </c>
      <c r="F81" s="22">
        <f>'Raw Numbers'!$F$38</f>
        <v>-171</v>
      </c>
      <c r="G81" s="22">
        <f>'Raw Numbers'!$G$38-'Raw Numbers'!$F$38</f>
        <v>28</v>
      </c>
      <c r="H81" s="22">
        <f>'Raw Numbers'!$H$38-'Raw Numbers'!$G$38</f>
        <v>86</v>
      </c>
      <c r="I81" s="22">
        <f>'Raw Numbers'!$I$38-'Raw Numbers'!$H$38</f>
        <v>240</v>
      </c>
      <c r="J81" s="22">
        <f>'Raw Numbers'!$J$38</f>
        <v>-90</v>
      </c>
      <c r="K81" s="22">
        <f>'Raw Numbers'!$K$38-'Raw Numbers'!$J$38</f>
        <v>201</v>
      </c>
      <c r="L81" s="22">
        <f>'Raw Numbers'!$L$38-'Raw Numbers'!$K$38</f>
        <v>100</v>
      </c>
      <c r="M81" s="22">
        <f>'Raw Numbers'!$M$38-'Raw Numbers'!$L$38</f>
        <v>70</v>
      </c>
      <c r="N81" s="22">
        <f>'Raw Numbers'!$N$38</f>
        <v>-94</v>
      </c>
      <c r="O81" s="22">
        <f>'Raw Numbers'!$O$38-'Raw Numbers'!$N$38</f>
        <v>150</v>
      </c>
      <c r="P81" s="46">
        <f>(P56+P59+P52)-(O56+O59+O52)</f>
        <v>211.10000000000036</v>
      </c>
      <c r="Q81" s="23">
        <f>(Q56+Q59+Q52)-(P56+P59+P52)</f>
        <v>28.394430600000305</v>
      </c>
      <c r="R81" s="23">
        <f>(R56+R59+R52)-(Q56+Q59+Q52)</f>
        <v>-37.559118600000147</v>
      </c>
      <c r="S81" s="23">
        <f>(S56+S59+S52)-(R56+R59+R52)</f>
        <v>218.48224200000004</v>
      </c>
      <c r="T81" s="24"/>
      <c r="U81" s="24">
        <f t="shared" si="31"/>
        <v>501</v>
      </c>
      <c r="V81" s="24">
        <f t="shared" si="32"/>
        <v>183</v>
      </c>
      <c r="W81" s="24">
        <f t="shared" si="33"/>
        <v>281</v>
      </c>
      <c r="X81" s="24">
        <f t="shared" si="34"/>
        <v>295.49443060000067</v>
      </c>
      <c r="Y81" s="24">
        <f t="shared" si="35"/>
        <v>420.41755400000056</v>
      </c>
    </row>
    <row r="82" spans="1:25">
      <c r="A82" s="41" t="s">
        <v>95</v>
      </c>
      <c r="B82" s="22">
        <f>'Raw Numbers'!$B$39</f>
        <v>6</v>
      </c>
      <c r="C82" s="22">
        <f>'Raw Numbers'!$C$39-'Raw Numbers'!$B$39</f>
        <v>18</v>
      </c>
      <c r="D82" s="22">
        <f>'Raw Numbers'!$D$39-'Raw Numbers'!$C$39</f>
        <v>56</v>
      </c>
      <c r="E82" s="22">
        <f>'Raw Numbers'!$E$39-'Raw Numbers'!$D$39</f>
        <v>33</v>
      </c>
      <c r="F82" s="22">
        <f>'Raw Numbers'!$F$39</f>
        <v>7</v>
      </c>
      <c r="G82" s="22">
        <f>'Raw Numbers'!$G$39-'Raw Numbers'!$F$39</f>
        <v>21</v>
      </c>
      <c r="H82" s="22">
        <f>'Raw Numbers'!$H$39-'Raw Numbers'!$G$39</f>
        <v>33</v>
      </c>
      <c r="I82" s="22">
        <f>'Raw Numbers'!$I$39-'Raw Numbers'!$H$39</f>
        <v>-16</v>
      </c>
      <c r="J82" s="22">
        <f>'Raw Numbers'!$J$39</f>
        <v>3</v>
      </c>
      <c r="K82" s="22">
        <f>'Raw Numbers'!$K$39-'Raw Numbers'!$J$39</f>
        <v>12</v>
      </c>
      <c r="L82" s="22">
        <f>'Raw Numbers'!$L$39-'Raw Numbers'!$K$39</f>
        <v>25</v>
      </c>
      <c r="M82" s="22">
        <f>'Raw Numbers'!$M$39-'Raw Numbers'!$L$39</f>
        <v>20</v>
      </c>
      <c r="N82" s="22">
        <f>'Raw Numbers'!$N$39</f>
        <v>35</v>
      </c>
      <c r="O82" s="22">
        <f>'Raw Numbers'!$O$39-'Raw Numbers'!$N$39</f>
        <v>25</v>
      </c>
      <c r="P82" s="46">
        <f>P58-O58</f>
        <v>37</v>
      </c>
      <c r="Q82" s="23">
        <f>Q58-P58</f>
        <v>4.7938300000001846</v>
      </c>
      <c r="R82" s="23">
        <f>R58-Q58</f>
        <v>-7.0269300000001067</v>
      </c>
      <c r="S82" s="23">
        <f>S58-R58</f>
        <v>43.749200000000087</v>
      </c>
      <c r="T82" s="24"/>
      <c r="U82" s="24">
        <f t="shared" si="31"/>
        <v>113</v>
      </c>
      <c r="V82" s="24">
        <f t="shared" si="32"/>
        <v>45</v>
      </c>
      <c r="W82" s="24">
        <f t="shared" si="33"/>
        <v>60</v>
      </c>
      <c r="X82" s="24">
        <f t="shared" si="34"/>
        <v>101.79383000000018</v>
      </c>
      <c r="Y82" s="24">
        <f t="shared" si="35"/>
        <v>78.516100000000165</v>
      </c>
    </row>
    <row r="83" spans="1:25">
      <c r="A83" s="41" t="s">
        <v>96</v>
      </c>
      <c r="B83" s="22">
        <f>'Raw Numbers'!$B$40</f>
        <v>1</v>
      </c>
      <c r="C83" s="22">
        <f>'Raw Numbers'!$C$40-'Raw Numbers'!$B$40</f>
        <v>-2</v>
      </c>
      <c r="D83" s="22">
        <f>'Raw Numbers'!$D$40-'Raw Numbers'!$C$40</f>
        <v>-2</v>
      </c>
      <c r="E83" s="22">
        <f>'Raw Numbers'!$E$40-'Raw Numbers'!$D$40</f>
        <v>-2</v>
      </c>
      <c r="F83" s="22">
        <f>'Raw Numbers'!$F$40</f>
        <v>0</v>
      </c>
      <c r="G83" s="22">
        <f>'Raw Numbers'!$G$40-'Raw Numbers'!$F$40</f>
        <v>4</v>
      </c>
      <c r="H83" s="22">
        <f>'Raw Numbers'!$H$40-'Raw Numbers'!$G$40</f>
        <v>0</v>
      </c>
      <c r="I83" s="22">
        <f>'Raw Numbers'!$I$40-'Raw Numbers'!$H$40</f>
        <v>-1</v>
      </c>
      <c r="J83" s="22">
        <f>'Raw Numbers'!$J$40</f>
        <v>12</v>
      </c>
      <c r="K83" s="22">
        <f>'Raw Numbers'!$K$40-'Raw Numbers'!$J$40</f>
        <v>8</v>
      </c>
      <c r="L83" s="22">
        <f>'Raw Numbers'!$L$40-'Raw Numbers'!$K$40</f>
        <v>2</v>
      </c>
      <c r="M83" s="22">
        <f>'Raw Numbers'!$M$40-'Raw Numbers'!$L$40</f>
        <v>0</v>
      </c>
      <c r="N83" s="22">
        <f>'Raw Numbers'!$N$40</f>
        <v>-3</v>
      </c>
      <c r="O83" s="22">
        <f>'Raw Numbers'!$O$40-'Raw Numbers'!$N$40</f>
        <v>-6</v>
      </c>
      <c r="P83" s="46">
        <f>(P61+P53)-(O61+O53)</f>
        <v>0</v>
      </c>
      <c r="Q83" s="23">
        <f>(Q61+Q53)-(P61+P53)</f>
        <v>0</v>
      </c>
      <c r="R83" s="23">
        <f>(R61+R53)-(Q61+Q53)</f>
        <v>0</v>
      </c>
      <c r="S83" s="23">
        <f>(S61+S53)-(R61+R53)</f>
        <v>0</v>
      </c>
      <c r="T83" s="24"/>
      <c r="U83" s="24">
        <f t="shared" si="31"/>
        <v>-5</v>
      </c>
      <c r="V83" s="24">
        <f t="shared" si="32"/>
        <v>3</v>
      </c>
      <c r="W83" s="24">
        <f t="shared" si="33"/>
        <v>22</v>
      </c>
      <c r="X83" s="24">
        <f t="shared" si="34"/>
        <v>-9</v>
      </c>
      <c r="Y83" s="24">
        <f t="shared" si="35"/>
        <v>0</v>
      </c>
    </row>
    <row r="84" spans="1:25">
      <c r="A84" s="41" t="s">
        <v>97</v>
      </c>
      <c r="B84" s="22">
        <f>'Raw Numbers'!$B$41</f>
        <v>-10</v>
      </c>
      <c r="C84" s="22">
        <f>'Raw Numbers'!$C$41-'Raw Numbers'!$B$41</f>
        <v>-10</v>
      </c>
      <c r="D84" s="22">
        <f>'Raw Numbers'!$D$41-'Raw Numbers'!$C$41</f>
        <v>-9</v>
      </c>
      <c r="E84" s="22">
        <f>'Raw Numbers'!$E$41-'Raw Numbers'!$D$41</f>
        <v>-9</v>
      </c>
      <c r="F84" s="22">
        <f>'Raw Numbers'!$F$41</f>
        <v>-9</v>
      </c>
      <c r="G84" s="22">
        <f>'Raw Numbers'!$G$41-'Raw Numbers'!$F$41</f>
        <v>-9</v>
      </c>
      <c r="H84" s="22">
        <f>'Raw Numbers'!$H$41-'Raw Numbers'!$G$41</f>
        <v>-9</v>
      </c>
      <c r="I84" s="22">
        <f>'Raw Numbers'!$I$41-'Raw Numbers'!$H$41</f>
        <v>-9</v>
      </c>
      <c r="J84" s="22">
        <f>'Raw Numbers'!$J$41</f>
        <v>-13</v>
      </c>
      <c r="K84" s="22">
        <f>'Raw Numbers'!$K$41-'Raw Numbers'!$J$41</f>
        <v>-6</v>
      </c>
      <c r="L84" s="22">
        <f>'Raw Numbers'!$L$41-'Raw Numbers'!$K$41</f>
        <v>-11</v>
      </c>
      <c r="M84" s="22">
        <f>'Raw Numbers'!$M$41-'Raw Numbers'!$L$41</f>
        <v>-6</v>
      </c>
      <c r="N84" s="22">
        <f>'Raw Numbers'!$N$41</f>
        <v>-8</v>
      </c>
      <c r="O84" s="22">
        <f>'Raw Numbers'!$O$41-'Raw Numbers'!$N$41</f>
        <v>-7</v>
      </c>
      <c r="P84" s="46">
        <f>P16</f>
        <v>-22.5</v>
      </c>
      <c r="Q84" s="23">
        <f>Q16</f>
        <v>-22.632345000000001</v>
      </c>
      <c r="R84" s="23">
        <f>R16</f>
        <v>-22.43835</v>
      </c>
      <c r="S84" s="23">
        <f>S16</f>
        <v>-23.646150000000002</v>
      </c>
      <c r="T84" s="24"/>
      <c r="U84" s="24">
        <f t="shared" si="31"/>
        <v>-38</v>
      </c>
      <c r="V84" s="24">
        <f t="shared" si="32"/>
        <v>-36</v>
      </c>
      <c r="W84" s="24">
        <f t="shared" si="33"/>
        <v>-36</v>
      </c>
      <c r="X84" s="24">
        <f t="shared" si="34"/>
        <v>-60.132345000000001</v>
      </c>
      <c r="Y84" s="24">
        <f t="shared" si="35"/>
        <v>-91.216845000000006</v>
      </c>
    </row>
    <row r="85" spans="1:25">
      <c r="A85" s="41" t="s">
        <v>98</v>
      </c>
      <c r="B85" s="22">
        <f>'Raw Numbers'!$B$42</f>
        <v>23</v>
      </c>
      <c r="C85" s="22">
        <f>'Raw Numbers'!$C$42-'Raw Numbers'!$B$42</f>
        <v>26</v>
      </c>
      <c r="D85" s="22">
        <f>'Raw Numbers'!$D$42-'Raw Numbers'!$C$42</f>
        <v>28</v>
      </c>
      <c r="E85" s="22">
        <f>'Raw Numbers'!$E$42-'Raw Numbers'!$D$42</f>
        <v>34</v>
      </c>
      <c r="F85" s="22">
        <f>'Raw Numbers'!$F$42</f>
        <v>37</v>
      </c>
      <c r="G85" s="22">
        <f>'Raw Numbers'!$G$42-'Raw Numbers'!$F$42</f>
        <v>41</v>
      </c>
      <c r="H85" s="22">
        <f>'Raw Numbers'!$H$42-'Raw Numbers'!$G$42</f>
        <v>77</v>
      </c>
      <c r="I85" s="22">
        <f>'Raw Numbers'!$I$42-'Raw Numbers'!$H$42</f>
        <v>61</v>
      </c>
      <c r="J85" s="22">
        <f>'Raw Numbers'!$J$42</f>
        <v>70</v>
      </c>
      <c r="K85" s="22">
        <f>'Raw Numbers'!$K$42-'Raw Numbers'!$J$42</f>
        <v>57</v>
      </c>
      <c r="L85" s="22">
        <f>'Raw Numbers'!$L$42-'Raw Numbers'!$K$42</f>
        <v>57</v>
      </c>
      <c r="M85" s="22">
        <f>'Raw Numbers'!$M$42-'Raw Numbers'!$L$42</f>
        <v>58</v>
      </c>
      <c r="N85" s="22">
        <f>'Raw Numbers'!$N$42</f>
        <v>52</v>
      </c>
      <c r="O85" s="22">
        <f>'Raw Numbers'!$O$42-'Raw Numbers'!$N$42</f>
        <v>48</v>
      </c>
      <c r="P85" s="46">
        <f>P15</f>
        <v>82.14500000000001</v>
      </c>
      <c r="Q85" s="23">
        <f>Q15</f>
        <v>86.82535242500002</v>
      </c>
      <c r="R85" s="23">
        <f>R15</f>
        <v>90.442360636865146</v>
      </c>
      <c r="S85" s="23">
        <f>S15</f>
        <v>93.479335702700894</v>
      </c>
      <c r="T85" s="24"/>
      <c r="U85" s="24">
        <f t="shared" si="31"/>
        <v>111</v>
      </c>
      <c r="V85" s="24">
        <f t="shared" si="32"/>
        <v>216</v>
      </c>
      <c r="W85" s="24">
        <f t="shared" si="33"/>
        <v>242</v>
      </c>
      <c r="X85" s="24">
        <f t="shared" si="34"/>
        <v>268.97035242500004</v>
      </c>
      <c r="Y85" s="24">
        <f t="shared" si="35"/>
        <v>352.89204876456608</v>
      </c>
    </row>
    <row r="86" spans="1:25">
      <c r="A86" s="41" t="s">
        <v>99</v>
      </c>
      <c r="B86" s="22">
        <f>'Raw Numbers'!$B$43</f>
        <v>-10</v>
      </c>
      <c r="C86" s="22">
        <f>'Raw Numbers'!$C$43-'Raw Numbers'!$B$43</f>
        <v>-15</v>
      </c>
      <c r="D86" s="22">
        <f>'Raw Numbers'!$D$43-'Raw Numbers'!$C$43</f>
        <v>-7</v>
      </c>
      <c r="E86" s="22">
        <f>'Raw Numbers'!$E$43-'Raw Numbers'!$D$43</f>
        <v>-11</v>
      </c>
      <c r="F86" s="22">
        <f>'Raw Numbers'!$F$43</f>
        <v>-5</v>
      </c>
      <c r="G86" s="22">
        <f>'Raw Numbers'!$G$43-'Raw Numbers'!$F$43</f>
        <v>-23</v>
      </c>
      <c r="H86" s="22">
        <f>'Raw Numbers'!$H$43-'Raw Numbers'!$G$43</f>
        <v>-15</v>
      </c>
      <c r="I86" s="22">
        <f>'Raw Numbers'!$I$43-'Raw Numbers'!$H$43</f>
        <v>-10</v>
      </c>
      <c r="J86" s="22">
        <f>'Raw Numbers'!$J$43</f>
        <v>-19</v>
      </c>
      <c r="K86" s="22">
        <f>'Raw Numbers'!$K$43-'Raw Numbers'!$J$43</f>
        <v>-58</v>
      </c>
      <c r="L86" s="22">
        <f>'Raw Numbers'!$L$43-'Raw Numbers'!$K$43</f>
        <v>-5</v>
      </c>
      <c r="M86" s="22">
        <f>'Raw Numbers'!$M$43-'Raw Numbers'!$L$43</f>
        <v>-4</v>
      </c>
      <c r="N86" s="22">
        <f>'Raw Numbers'!$N$43</f>
        <v>-36</v>
      </c>
      <c r="O86" s="22">
        <f>'Raw Numbers'!$O$43-'Raw Numbers'!$N$43</f>
        <v>-85</v>
      </c>
      <c r="P86" s="46">
        <f>-P19*Assumptions!B22</f>
        <v>-148.84757999999999</v>
      </c>
      <c r="Q86" s="23">
        <f>-Q19*Assumptions!C22</f>
        <v>-162.89132095470001</v>
      </c>
      <c r="R86" s="23">
        <f>-R19*Assumptions!D22</f>
        <v>-162.38477736992053</v>
      </c>
      <c r="S86" s="23">
        <f>-S19*Assumptions!E22</f>
        <v>-168.60803708335104</v>
      </c>
      <c r="T86" s="24"/>
      <c r="U86" s="24">
        <f t="shared" si="31"/>
        <v>-43</v>
      </c>
      <c r="V86" s="24">
        <f t="shared" si="32"/>
        <v>-53</v>
      </c>
      <c r="W86" s="24">
        <f t="shared" si="33"/>
        <v>-86</v>
      </c>
      <c r="X86" s="24">
        <f t="shared" si="34"/>
        <v>-432.7389009547</v>
      </c>
      <c r="Y86" s="24">
        <f t="shared" si="35"/>
        <v>-642.73171540797159</v>
      </c>
    </row>
    <row r="87" spans="1:25">
      <c r="A87" s="42" t="s">
        <v>100</v>
      </c>
      <c r="B87" s="18">
        <f>'Raw Numbers'!$B$44</f>
        <v>59</v>
      </c>
      <c r="C87" s="18">
        <f>'Raw Numbers'!$C$44-'Raw Numbers'!$B$44</f>
        <v>13</v>
      </c>
      <c r="D87" s="18">
        <f>'Raw Numbers'!$D$44-'Raw Numbers'!$C$44</f>
        <v>211</v>
      </c>
      <c r="E87" s="18">
        <f>'Raw Numbers'!$E$44-'Raw Numbers'!$D$44</f>
        <v>397</v>
      </c>
      <c r="F87" s="18">
        <f>'Raw Numbers'!$F$44</f>
        <v>211</v>
      </c>
      <c r="G87" s="18">
        <f>'Raw Numbers'!$G$44-'Raw Numbers'!$F$44</f>
        <v>492</v>
      </c>
      <c r="H87" s="18">
        <f>'Raw Numbers'!$H$44-'Raw Numbers'!$G$44</f>
        <v>715</v>
      </c>
      <c r="I87" s="18">
        <f>'Raw Numbers'!$I$44-'Raw Numbers'!$H$44</f>
        <v>883</v>
      </c>
      <c r="J87" s="18">
        <f>'Raw Numbers'!$J$44</f>
        <v>539</v>
      </c>
      <c r="K87" s="18">
        <f>'Raw Numbers'!$K$44-'Raw Numbers'!$J$44</f>
        <v>709</v>
      </c>
      <c r="L87" s="18">
        <f>'Raw Numbers'!$L$44-'Raw Numbers'!$K$44</f>
        <v>829</v>
      </c>
      <c r="M87" s="18">
        <f>'Raw Numbers'!$M$44-'Raw Numbers'!$L$44</f>
        <v>856</v>
      </c>
      <c r="N87" s="18">
        <f>'Raw Numbers'!$N$44</f>
        <v>836</v>
      </c>
      <c r="O87" s="18">
        <f>'Raw Numbers'!$O$44-'Raw Numbers'!$N$44</f>
        <v>816</v>
      </c>
      <c r="P87" s="49">
        <f>SUM(P70:P86)</f>
        <v>894.89742000000035</v>
      </c>
      <c r="Q87" s="28">
        <f>SUM(Q70:Q86)</f>
        <v>773.90174707030042</v>
      </c>
      <c r="R87" s="28">
        <f>SUM(R70:R86)</f>
        <v>706.83626466694477</v>
      </c>
      <c r="S87" s="28">
        <f>SUM(S70:S86)</f>
        <v>985.27759061935035</v>
      </c>
      <c r="T87" s="20"/>
      <c r="U87" s="20">
        <f t="shared" si="31"/>
        <v>680</v>
      </c>
      <c r="V87" s="20">
        <f t="shared" si="32"/>
        <v>2301</v>
      </c>
      <c r="W87" s="20">
        <f t="shared" si="33"/>
        <v>2933</v>
      </c>
      <c r="X87" s="20">
        <f t="shared" si="34"/>
        <v>3320.7991670703004</v>
      </c>
      <c r="Y87" s="20">
        <f t="shared" si="35"/>
        <v>3360.9130223565962</v>
      </c>
    </row>
    <row r="88" spans="1:25">
      <c r="A88" s="41" t="s">
        <v>101</v>
      </c>
      <c r="B88" s="22">
        <f>'Raw Numbers'!$B$45</f>
        <v>0</v>
      </c>
      <c r="C88" s="22">
        <f>'Raw Numbers'!$C$45-'Raw Numbers'!$B$45</f>
        <v>0</v>
      </c>
      <c r="D88" s="22">
        <f>'Raw Numbers'!$D$45-'Raw Numbers'!$C$45</f>
        <v>0</v>
      </c>
      <c r="E88" s="22">
        <f>'Raw Numbers'!$E$45-'Raw Numbers'!$D$45</f>
        <v>0</v>
      </c>
      <c r="F88" s="22">
        <f>'Raw Numbers'!$F$45</f>
        <v>0</v>
      </c>
      <c r="G88" s="22">
        <f>'Raw Numbers'!$G$45-'Raw Numbers'!$F$45</f>
        <v>0</v>
      </c>
      <c r="H88" s="22">
        <f>'Raw Numbers'!$H$45-'Raw Numbers'!$G$45</f>
        <v>0</v>
      </c>
      <c r="I88" s="22">
        <f>'Raw Numbers'!$I$45-'Raw Numbers'!$H$45</f>
        <v>0</v>
      </c>
      <c r="J88" s="22">
        <f>'Raw Numbers'!$J$45</f>
        <v>0</v>
      </c>
      <c r="K88" s="22">
        <f>'Raw Numbers'!$K$45-'Raw Numbers'!$J$45</f>
        <v>0</v>
      </c>
      <c r="L88" s="22">
        <f>'Raw Numbers'!$L$45-'Raw Numbers'!$K$45</f>
        <v>0</v>
      </c>
      <c r="M88" s="22">
        <f>'Raw Numbers'!$M$45-'Raw Numbers'!$L$45</f>
        <v>-9</v>
      </c>
      <c r="N88" s="22">
        <f>'Raw Numbers'!$N$45</f>
        <v>0</v>
      </c>
      <c r="O88" s="22">
        <f>'Raw Numbers'!$O$45-'Raw Numbers'!$N$45</f>
        <v>0</v>
      </c>
      <c r="P88" s="52">
        <v>0</v>
      </c>
      <c r="Q88" s="37">
        <v>0</v>
      </c>
      <c r="R88" s="37">
        <v>0</v>
      </c>
      <c r="S88" s="37">
        <v>0</v>
      </c>
      <c r="T88" s="24"/>
      <c r="U88" s="24">
        <f t="shared" si="31"/>
        <v>0</v>
      </c>
      <c r="V88" s="24">
        <f t="shared" si="32"/>
        <v>0</v>
      </c>
      <c r="W88" s="24">
        <f t="shared" si="33"/>
        <v>-9</v>
      </c>
      <c r="X88" s="24">
        <f t="shared" si="34"/>
        <v>0</v>
      </c>
      <c r="Y88" s="24">
        <f t="shared" si="35"/>
        <v>0</v>
      </c>
    </row>
    <row r="89" spans="1:25">
      <c r="A89" s="41" t="s">
        <v>102</v>
      </c>
      <c r="B89" s="22">
        <f>'Raw Numbers'!$B$46</f>
        <v>-7</v>
      </c>
      <c r="C89" s="22">
        <f>'Raw Numbers'!$C$46-'Raw Numbers'!$B$46</f>
        <v>0</v>
      </c>
      <c r="D89" s="22">
        <f>'Raw Numbers'!$D$46-'Raw Numbers'!$C$46</f>
        <v>0</v>
      </c>
      <c r="E89" s="22">
        <f>'Raw Numbers'!$E$46-'Raw Numbers'!$D$46</f>
        <v>0</v>
      </c>
      <c r="F89" s="22">
        <f>'Raw Numbers'!$F$46</f>
        <v>-7</v>
      </c>
      <c r="G89" s="22">
        <f>'Raw Numbers'!$G$46-'Raw Numbers'!$F$46</f>
        <v>-3</v>
      </c>
      <c r="H89" s="22">
        <f>'Raw Numbers'!$H$46-'Raw Numbers'!$G$46</f>
        <v>0</v>
      </c>
      <c r="I89" s="22">
        <f>'Raw Numbers'!$I$46-'Raw Numbers'!$H$46</f>
        <v>0</v>
      </c>
      <c r="J89" s="22">
        <f>'Raw Numbers'!$J$46</f>
        <v>-7</v>
      </c>
      <c r="K89" s="22">
        <f>'Raw Numbers'!$K$46-'Raw Numbers'!$J$46</f>
        <v>-2</v>
      </c>
      <c r="L89" s="22">
        <f>'Raw Numbers'!$L$46-'Raw Numbers'!$K$46</f>
        <v>0</v>
      </c>
      <c r="M89" s="22">
        <f>'Raw Numbers'!$M$46-'Raw Numbers'!$L$46</f>
        <v>0</v>
      </c>
      <c r="N89" s="22">
        <f>'Raw Numbers'!$N$46</f>
        <v>0</v>
      </c>
      <c r="O89" s="22">
        <f>'Raw Numbers'!$O$46-'Raw Numbers'!$N$46</f>
        <v>0</v>
      </c>
      <c r="P89" s="52">
        <v>0</v>
      </c>
      <c r="Q89" s="37">
        <v>0</v>
      </c>
      <c r="R89" s="37">
        <v>0</v>
      </c>
      <c r="S89" s="37">
        <v>0</v>
      </c>
      <c r="T89" s="24"/>
      <c r="U89" s="24">
        <f t="shared" si="31"/>
        <v>-7</v>
      </c>
      <c r="V89" s="24">
        <f t="shared" si="32"/>
        <v>-10</v>
      </c>
      <c r="W89" s="24">
        <f t="shared" si="33"/>
        <v>-9</v>
      </c>
      <c r="X89" s="24">
        <f t="shared" si="34"/>
        <v>0</v>
      </c>
      <c r="Y89" s="24">
        <f t="shared" si="35"/>
        <v>0</v>
      </c>
    </row>
    <row r="90" spans="1:25">
      <c r="A90" s="41" t="s">
        <v>103</v>
      </c>
      <c r="B90" s="22">
        <f>'Raw Numbers'!$B$47</f>
        <v>-2</v>
      </c>
      <c r="C90" s="22">
        <f>'Raw Numbers'!$C$47-'Raw Numbers'!$B$47</f>
        <v>-2</v>
      </c>
      <c r="D90" s="22">
        <f>'Raw Numbers'!$D$47-'Raw Numbers'!$C$47</f>
        <v>-1</v>
      </c>
      <c r="E90" s="22">
        <f>'Raw Numbers'!$E$47-'Raw Numbers'!$D$47</f>
        <v>-1</v>
      </c>
      <c r="F90" s="22">
        <f>'Raw Numbers'!$F$47</f>
        <v>-5</v>
      </c>
      <c r="G90" s="22">
        <f>'Raw Numbers'!$G$47-'Raw Numbers'!$F$47</f>
        <v>-2</v>
      </c>
      <c r="H90" s="22">
        <f>'Raw Numbers'!$H$47-'Raw Numbers'!$G$47</f>
        <v>-4</v>
      </c>
      <c r="I90" s="22">
        <f>'Raw Numbers'!$I$47-'Raw Numbers'!$H$47</f>
        <v>-6</v>
      </c>
      <c r="J90" s="22">
        <f>'Raw Numbers'!$J$47</f>
        <v>-6</v>
      </c>
      <c r="K90" s="22">
        <f>'Raw Numbers'!$K$47-'Raw Numbers'!$J$47</f>
        <v>-10</v>
      </c>
      <c r="L90" s="22">
        <f>'Raw Numbers'!$L$47-'Raw Numbers'!$K$47</f>
        <v>-23</v>
      </c>
      <c r="M90" s="22">
        <f>'Raw Numbers'!$M$47-'Raw Numbers'!$L$47</f>
        <v>-22</v>
      </c>
      <c r="N90" s="22">
        <f>'Raw Numbers'!$N$47</f>
        <v>-5</v>
      </c>
      <c r="O90" s="22">
        <f>'Raw Numbers'!$O$47-'Raw Numbers'!$N$47</f>
        <v>-20</v>
      </c>
      <c r="P90" s="46">
        <f>-P5*Assumptions!B23</f>
        <v>-27.5</v>
      </c>
      <c r="Q90" s="23">
        <f>-Q5*Assumptions!C23</f>
        <v>-27.661755000000003</v>
      </c>
      <c r="R90" s="23">
        <f>-R5*Assumptions!D23</f>
        <v>-27.42465</v>
      </c>
      <c r="S90" s="23">
        <f>-S5*Assumptions!E23</f>
        <v>-28.900850000000002</v>
      </c>
      <c r="T90" s="24"/>
      <c r="U90" s="24">
        <f t="shared" si="31"/>
        <v>-6</v>
      </c>
      <c r="V90" s="24">
        <f t="shared" si="32"/>
        <v>-17</v>
      </c>
      <c r="W90" s="24">
        <f t="shared" si="33"/>
        <v>-61</v>
      </c>
      <c r="X90" s="24">
        <f t="shared" si="34"/>
        <v>-80.161754999999999</v>
      </c>
      <c r="Y90" s="24">
        <f t="shared" si="35"/>
        <v>-111.487255</v>
      </c>
    </row>
    <row r="91" spans="1:25">
      <c r="A91" s="41" t="s">
        <v>104</v>
      </c>
      <c r="B91" s="22">
        <f>'Raw Numbers'!$B$48</f>
        <v>-237</v>
      </c>
      <c r="C91" s="22">
        <f>'Raw Numbers'!$C$48-'Raw Numbers'!$B$48</f>
        <v>-138</v>
      </c>
      <c r="D91" s="22">
        <f>'Raw Numbers'!$D$48-'Raw Numbers'!$C$48</f>
        <v>-406</v>
      </c>
      <c r="E91" s="22">
        <f>'Raw Numbers'!$E$48-'Raw Numbers'!$D$48</f>
        <v>-809</v>
      </c>
      <c r="F91" s="22">
        <f>'Raw Numbers'!$F$48</f>
        <v>-998</v>
      </c>
      <c r="G91" s="22">
        <f>'Raw Numbers'!$G$48-'Raw Numbers'!$F$48</f>
        <v>-1285</v>
      </c>
      <c r="H91" s="22">
        <f>'Raw Numbers'!$H$48-'Raw Numbers'!$G$48</f>
        <v>-1439</v>
      </c>
      <c r="I91" s="22">
        <f>'Raw Numbers'!$I$48-'Raw Numbers'!$H$48</f>
        <v>-3553</v>
      </c>
      <c r="J91" s="22">
        <f>'Raw Numbers'!$J$48</f>
        <v>-3929</v>
      </c>
      <c r="K91" s="22">
        <f>'Raw Numbers'!$K$48-'Raw Numbers'!$J$48</f>
        <v>-4643</v>
      </c>
      <c r="L91" s="22">
        <f>'Raw Numbers'!$L$48-'Raw Numbers'!$K$48</f>
        <v>-4783</v>
      </c>
      <c r="M91" s="22">
        <f>'Raw Numbers'!$M$48-'Raw Numbers'!$L$48</f>
        <v>-5916</v>
      </c>
      <c r="N91" s="22">
        <f>'Raw Numbers'!$N$48</f>
        <v>-6740</v>
      </c>
      <c r="O91" s="22">
        <f>'Raw Numbers'!$O$48-'Raw Numbers'!$N$48</f>
        <v>-7301</v>
      </c>
      <c r="P91" s="52">
        <v>0</v>
      </c>
      <c r="Q91" s="37">
        <v>0</v>
      </c>
      <c r="R91" s="37">
        <v>0</v>
      </c>
      <c r="S91" s="37">
        <v>0</v>
      </c>
      <c r="T91" s="24"/>
      <c r="U91" s="24">
        <f t="shared" si="31"/>
        <v>-1590</v>
      </c>
      <c r="V91" s="24">
        <f t="shared" si="32"/>
        <v>-7275</v>
      </c>
      <c r="W91" s="24">
        <f t="shared" si="33"/>
        <v>-19271</v>
      </c>
      <c r="X91" s="24">
        <f t="shared" si="34"/>
        <v>-14041</v>
      </c>
      <c r="Y91" s="24">
        <f t="shared" si="35"/>
        <v>0</v>
      </c>
    </row>
    <row r="92" spans="1:25">
      <c r="A92" s="41" t="s">
        <v>105</v>
      </c>
      <c r="B92" s="22">
        <f>'Raw Numbers'!$B$49</f>
        <v>111</v>
      </c>
      <c r="C92" s="22">
        <f>'Raw Numbers'!$C$49-'Raw Numbers'!$B$49</f>
        <v>265</v>
      </c>
      <c r="D92" s="22">
        <f>'Raw Numbers'!$D$49-'Raw Numbers'!$C$49</f>
        <v>201</v>
      </c>
      <c r="E92" s="22">
        <f>'Raw Numbers'!$E$49-'Raw Numbers'!$D$49</f>
        <v>802</v>
      </c>
      <c r="F92" s="22">
        <f>'Raw Numbers'!$F$49</f>
        <v>900</v>
      </c>
      <c r="G92" s="22">
        <f>'Raw Numbers'!$G$49-'Raw Numbers'!$F$49</f>
        <v>1179</v>
      </c>
      <c r="H92" s="22">
        <f>'Raw Numbers'!$H$49-'Raw Numbers'!$G$49</f>
        <v>1364</v>
      </c>
      <c r="I92" s="22">
        <f>'Raw Numbers'!$I$49-'Raw Numbers'!$H$49</f>
        <v>2361</v>
      </c>
      <c r="J92" s="22">
        <f>'Raw Numbers'!$J$49</f>
        <v>3630</v>
      </c>
      <c r="K92" s="22">
        <f>'Raw Numbers'!$K$49-'Raw Numbers'!$J$49</f>
        <v>4228</v>
      </c>
      <c r="L92" s="22">
        <f>'Raw Numbers'!$L$49-'Raw Numbers'!$K$49</f>
        <v>4369</v>
      </c>
      <c r="M92" s="22">
        <f>'Raw Numbers'!$M$49-'Raw Numbers'!$L$49</f>
        <v>5318</v>
      </c>
      <c r="N92" s="22">
        <f>'Raw Numbers'!$N$49</f>
        <v>7484</v>
      </c>
      <c r="O92" s="22">
        <f>'Raw Numbers'!$O$49-'Raw Numbers'!$N$49</f>
        <v>7351</v>
      </c>
      <c r="P92" s="52">
        <v>0</v>
      </c>
      <c r="Q92" s="37">
        <v>0</v>
      </c>
      <c r="R92" s="37">
        <v>0</v>
      </c>
      <c r="S92" s="37">
        <v>0</v>
      </c>
      <c r="T92" s="24"/>
      <c r="U92" s="24">
        <f t="shared" si="31"/>
        <v>1379</v>
      </c>
      <c r="V92" s="24">
        <f t="shared" si="32"/>
        <v>5804</v>
      </c>
      <c r="W92" s="24">
        <f t="shared" si="33"/>
        <v>17545</v>
      </c>
      <c r="X92" s="24">
        <f t="shared" si="34"/>
        <v>14835</v>
      </c>
      <c r="Y92" s="24">
        <f t="shared" si="35"/>
        <v>0</v>
      </c>
    </row>
    <row r="93" spans="1:25">
      <c r="A93" s="41" t="s">
        <v>106</v>
      </c>
      <c r="B93" s="22">
        <f>'Raw Numbers'!$B$50</f>
        <v>0</v>
      </c>
      <c r="C93" s="22">
        <f>'Raw Numbers'!$C$50-'Raw Numbers'!$B$50</f>
        <v>-2</v>
      </c>
      <c r="D93" s="22">
        <f>'Raw Numbers'!$D$50-'Raw Numbers'!$C$50</f>
        <v>6</v>
      </c>
      <c r="E93" s="22">
        <f>'Raw Numbers'!$E$50-'Raw Numbers'!$D$50</f>
        <v>0</v>
      </c>
      <c r="F93" s="22">
        <f>'Raw Numbers'!$F$50</f>
        <v>1</v>
      </c>
      <c r="G93" s="22">
        <f>'Raw Numbers'!$G$50-'Raw Numbers'!$F$50</f>
        <v>0</v>
      </c>
      <c r="H93" s="22">
        <f>'Raw Numbers'!$H$50-'Raw Numbers'!$G$50</f>
        <v>0</v>
      </c>
      <c r="I93" s="22">
        <f>'Raw Numbers'!$I$50-'Raw Numbers'!$H$50</f>
        <v>0</v>
      </c>
      <c r="J93" s="22">
        <f>'Raw Numbers'!$J$50</f>
        <v>1</v>
      </c>
      <c r="K93" s="22">
        <f>'Raw Numbers'!$K$50-'Raw Numbers'!$J$50</f>
        <v>1</v>
      </c>
      <c r="L93" s="22">
        <f>'Raw Numbers'!$L$50-'Raw Numbers'!$K$50</f>
        <v>0</v>
      </c>
      <c r="M93" s="22">
        <f>'Raw Numbers'!$M$50-'Raw Numbers'!$L$50</f>
        <v>0</v>
      </c>
      <c r="N93" s="22">
        <f>'Raw Numbers'!$N$50</f>
        <v>1</v>
      </c>
      <c r="O93" s="22">
        <f>'Raw Numbers'!$O$50-'Raw Numbers'!$N$50</f>
        <v>2</v>
      </c>
      <c r="P93" s="52">
        <v>0</v>
      </c>
      <c r="Q93" s="37">
        <v>0</v>
      </c>
      <c r="R93" s="37">
        <v>0</v>
      </c>
      <c r="S93" s="37">
        <v>0</v>
      </c>
      <c r="T93" s="24"/>
      <c r="U93" s="24">
        <f t="shared" si="31"/>
        <v>4</v>
      </c>
      <c r="V93" s="24">
        <f t="shared" si="32"/>
        <v>1</v>
      </c>
      <c r="W93" s="24">
        <f t="shared" si="33"/>
        <v>2</v>
      </c>
      <c r="X93" s="24">
        <f t="shared" si="34"/>
        <v>3</v>
      </c>
      <c r="Y93" s="24">
        <f t="shared" si="35"/>
        <v>0</v>
      </c>
    </row>
    <row r="94" spans="1:25">
      <c r="A94" s="41" t="s">
        <v>107</v>
      </c>
      <c r="B94" s="22">
        <f>'Raw Numbers'!$B$51</f>
        <v>0</v>
      </c>
      <c r="C94" s="22">
        <f>'Raw Numbers'!$C$51-'Raw Numbers'!$B$51</f>
        <v>0</v>
      </c>
      <c r="D94" s="22">
        <f>'Raw Numbers'!$D$51-'Raw Numbers'!$C$51</f>
        <v>0</v>
      </c>
      <c r="E94" s="22">
        <f>'Raw Numbers'!$E$51-'Raw Numbers'!$D$51</f>
        <v>0</v>
      </c>
      <c r="F94" s="22">
        <f>'Raw Numbers'!$F$51</f>
        <v>0</v>
      </c>
      <c r="G94" s="22">
        <f>'Raw Numbers'!$G$51-'Raw Numbers'!$F$51</f>
        <v>18</v>
      </c>
      <c r="H94" s="22">
        <f>'Raw Numbers'!$H$51-'Raw Numbers'!$G$51</f>
        <v>0</v>
      </c>
      <c r="I94" s="22">
        <f>'Raw Numbers'!$I$51-'Raw Numbers'!$H$51</f>
        <v>1</v>
      </c>
      <c r="J94" s="22">
        <f>'Raw Numbers'!$J$51</f>
        <v>0</v>
      </c>
      <c r="K94" s="22">
        <f>'Raw Numbers'!$K$51-'Raw Numbers'!$J$51</f>
        <v>22</v>
      </c>
      <c r="L94" s="22">
        <f>'Raw Numbers'!$L$51-'Raw Numbers'!$K$51</f>
        <v>1</v>
      </c>
      <c r="M94" s="22">
        <f>'Raw Numbers'!$M$51-'Raw Numbers'!$L$51</f>
        <v>0</v>
      </c>
      <c r="N94" s="22">
        <f>'Raw Numbers'!$N$51</f>
        <v>0</v>
      </c>
      <c r="O94" s="22">
        <f>'Raw Numbers'!$O$51-'Raw Numbers'!$N$51</f>
        <v>29</v>
      </c>
      <c r="P94" s="52">
        <v>0</v>
      </c>
      <c r="Q94" s="37">
        <v>0</v>
      </c>
      <c r="R94" s="37">
        <v>0</v>
      </c>
      <c r="S94" s="37">
        <v>0</v>
      </c>
      <c r="T94" s="24"/>
      <c r="U94" s="24">
        <f t="shared" si="31"/>
        <v>0</v>
      </c>
      <c r="V94" s="24">
        <f t="shared" si="32"/>
        <v>19</v>
      </c>
      <c r="W94" s="24">
        <f t="shared" si="33"/>
        <v>23</v>
      </c>
      <c r="X94" s="24">
        <f t="shared" si="34"/>
        <v>29</v>
      </c>
      <c r="Y94" s="24">
        <f t="shared" si="35"/>
        <v>0</v>
      </c>
    </row>
    <row r="95" spans="1:25">
      <c r="A95" s="41" t="s">
        <v>108</v>
      </c>
      <c r="B95" s="22">
        <f>'Raw Numbers'!$B$52</f>
        <v>13</v>
      </c>
      <c r="C95" s="22">
        <f>'Raw Numbers'!$C$52-'Raw Numbers'!$B$52</f>
        <v>-10</v>
      </c>
      <c r="D95" s="22">
        <f>'Raw Numbers'!$D$52-'Raw Numbers'!$C$52</f>
        <v>-3</v>
      </c>
      <c r="E95" s="22">
        <f>'Raw Numbers'!$E$52-'Raw Numbers'!$D$52</f>
        <v>3</v>
      </c>
      <c r="F95" s="22">
        <f>'Raw Numbers'!$F$52</f>
        <v>-5</v>
      </c>
      <c r="G95" s="22">
        <f>'Raw Numbers'!$G$52-'Raw Numbers'!$F$52</f>
        <v>1</v>
      </c>
      <c r="H95" s="22">
        <f>'Raw Numbers'!$H$52-'Raw Numbers'!$G$52</f>
        <v>-3</v>
      </c>
      <c r="I95" s="22">
        <f>'Raw Numbers'!$I$52-'Raw Numbers'!$H$52</f>
        <v>-1</v>
      </c>
      <c r="J95" s="22">
        <f>'Raw Numbers'!$J$52</f>
        <v>-3</v>
      </c>
      <c r="K95" s="22">
        <f>'Raw Numbers'!$K$52-'Raw Numbers'!$J$52</f>
        <v>0</v>
      </c>
      <c r="L95" s="22">
        <f>'Raw Numbers'!$L$52-'Raw Numbers'!$K$52</f>
        <v>-2</v>
      </c>
      <c r="M95" s="22">
        <f>'Raw Numbers'!$M$52-'Raw Numbers'!$L$52</f>
        <v>0</v>
      </c>
      <c r="N95" s="22">
        <f>'Raw Numbers'!$N$52</f>
        <v>-8</v>
      </c>
      <c r="O95" s="22">
        <f>'Raw Numbers'!$O$52-'Raw Numbers'!$N$52</f>
        <v>1</v>
      </c>
      <c r="P95" s="52">
        <v>0</v>
      </c>
      <c r="Q95" s="37">
        <v>0</v>
      </c>
      <c r="R95" s="37">
        <v>0</v>
      </c>
      <c r="S95" s="37">
        <v>0</v>
      </c>
      <c r="T95" s="24"/>
      <c r="U95" s="24">
        <f t="shared" si="31"/>
        <v>3</v>
      </c>
      <c r="V95" s="24">
        <f t="shared" si="32"/>
        <v>-8</v>
      </c>
      <c r="W95" s="24">
        <f t="shared" si="33"/>
        <v>-5</v>
      </c>
      <c r="X95" s="24">
        <f t="shared" si="34"/>
        <v>-7</v>
      </c>
      <c r="Y95" s="24">
        <f t="shared" si="35"/>
        <v>0</v>
      </c>
    </row>
    <row r="96" spans="1:25">
      <c r="A96" s="42" t="s">
        <v>109</v>
      </c>
      <c r="B96" s="18">
        <f>'Raw Numbers'!$B$53</f>
        <v>-122</v>
      </c>
      <c r="C96" s="18">
        <f>'Raw Numbers'!$C$53-'Raw Numbers'!$B$53</f>
        <v>113</v>
      </c>
      <c r="D96" s="18">
        <f>'Raw Numbers'!$D$53-'Raw Numbers'!$C$53</f>
        <v>-203</v>
      </c>
      <c r="E96" s="18">
        <f>'Raw Numbers'!$E$53-'Raw Numbers'!$D$53</f>
        <v>-5</v>
      </c>
      <c r="F96" s="18">
        <f>'Raw Numbers'!$F$53</f>
        <v>-114</v>
      </c>
      <c r="G96" s="18">
        <f>'Raw Numbers'!$G$53-'Raw Numbers'!$F$53</f>
        <v>-92</v>
      </c>
      <c r="H96" s="18">
        <f>'Raw Numbers'!$H$53-'Raw Numbers'!$G$53</f>
        <v>-82</v>
      </c>
      <c r="I96" s="18">
        <f>'Raw Numbers'!$I$53-'Raw Numbers'!$H$53</f>
        <v>-1198</v>
      </c>
      <c r="J96" s="18">
        <f>'Raw Numbers'!$J$53</f>
        <v>-314</v>
      </c>
      <c r="K96" s="18">
        <f>'Raw Numbers'!$K$53-'Raw Numbers'!$J$53</f>
        <v>-404</v>
      </c>
      <c r="L96" s="18">
        <f>'Raw Numbers'!$L$53-'Raw Numbers'!$K$53</f>
        <v>-438</v>
      </c>
      <c r="M96" s="18">
        <f>'Raw Numbers'!$M$53-'Raw Numbers'!$L$53</f>
        <v>-629</v>
      </c>
      <c r="N96" s="18">
        <f>'Raw Numbers'!$N$53</f>
        <v>732</v>
      </c>
      <c r="O96" s="18">
        <f>'Raw Numbers'!$O$53-'Raw Numbers'!$N$53</f>
        <v>62</v>
      </c>
      <c r="P96" s="49">
        <f>SUM(P88:P95)</f>
        <v>-27.5</v>
      </c>
      <c r="Q96" s="28">
        <f>SUM(Q88:Q95)</f>
        <v>-27.661755000000003</v>
      </c>
      <c r="R96" s="28">
        <f>SUM(R88:R95)</f>
        <v>-27.42465</v>
      </c>
      <c r="S96" s="28">
        <f>SUM(S88:S95)</f>
        <v>-28.900850000000002</v>
      </c>
      <c r="T96" s="20"/>
      <c r="U96" s="20">
        <f t="shared" si="31"/>
        <v>-217</v>
      </c>
      <c r="V96" s="20">
        <f t="shared" si="32"/>
        <v>-1486</v>
      </c>
      <c r="W96" s="20">
        <f t="shared" si="33"/>
        <v>-1785</v>
      </c>
      <c r="X96" s="20">
        <f t="shared" si="34"/>
        <v>738.83824500000003</v>
      </c>
      <c r="Y96" s="20">
        <f t="shared" si="35"/>
        <v>-111.487255</v>
      </c>
    </row>
    <row r="97" spans="1:25">
      <c r="A97" s="41" t="s">
        <v>110</v>
      </c>
      <c r="B97" s="22">
        <f>'Raw Numbers'!$B$54</f>
        <v>75</v>
      </c>
      <c r="C97" s="22">
        <f>'Raw Numbers'!$C$54-'Raw Numbers'!$B$54</f>
        <v>35</v>
      </c>
      <c r="D97" s="22">
        <f>'Raw Numbers'!$D$54-'Raw Numbers'!$C$54</f>
        <v>32</v>
      </c>
      <c r="E97" s="22">
        <f>'Raw Numbers'!$E$54-'Raw Numbers'!$D$54</f>
        <v>224</v>
      </c>
      <c r="F97" s="22">
        <f>'Raw Numbers'!$F$54</f>
        <v>242</v>
      </c>
      <c r="G97" s="22">
        <f>'Raw Numbers'!$G$54-'Raw Numbers'!$F$54</f>
        <v>240</v>
      </c>
      <c r="H97" s="22">
        <f>'Raw Numbers'!$H$54-'Raw Numbers'!$G$54</f>
        <v>152</v>
      </c>
      <c r="I97" s="22">
        <f>'Raw Numbers'!$I$54-'Raw Numbers'!$H$54</f>
        <v>299</v>
      </c>
      <c r="J97" s="22">
        <f>'Raw Numbers'!$J$54</f>
        <v>204</v>
      </c>
      <c r="K97" s="22">
        <f>'Raw Numbers'!$K$54-'Raw Numbers'!$J$54</f>
        <v>92</v>
      </c>
      <c r="L97" s="22">
        <f>'Raw Numbers'!$L$54-'Raw Numbers'!$K$54</f>
        <v>39</v>
      </c>
      <c r="M97" s="22">
        <f>'Raw Numbers'!$M$54-'Raw Numbers'!$L$54</f>
        <v>37</v>
      </c>
      <c r="N97" s="22">
        <f>'Raw Numbers'!$N$54</f>
        <v>64</v>
      </c>
      <c r="O97" s="22">
        <f>'Raw Numbers'!$O$54-'Raw Numbers'!$N$54</f>
        <v>64</v>
      </c>
      <c r="P97" s="46">
        <f>Assumptions!B24</f>
        <v>30</v>
      </c>
      <c r="Q97" s="23">
        <f>Assumptions!C24</f>
        <v>30</v>
      </c>
      <c r="R97" s="23">
        <f>Assumptions!D24</f>
        <v>30</v>
      </c>
      <c r="S97" s="23">
        <f>Assumptions!E24</f>
        <v>30</v>
      </c>
      <c r="T97" s="24"/>
      <c r="U97" s="24">
        <f t="shared" si="31"/>
        <v>366</v>
      </c>
      <c r="V97" s="24">
        <f t="shared" si="32"/>
        <v>933</v>
      </c>
      <c r="W97" s="24">
        <f t="shared" si="33"/>
        <v>372</v>
      </c>
      <c r="X97" s="24">
        <f t="shared" si="34"/>
        <v>188</v>
      </c>
      <c r="Y97" s="24">
        <f t="shared" si="35"/>
        <v>120</v>
      </c>
    </row>
    <row r="98" spans="1:25">
      <c r="A98" s="41" t="s">
        <v>111</v>
      </c>
      <c r="B98" s="22">
        <f>'Raw Numbers'!$B$55</f>
        <v>0</v>
      </c>
      <c r="C98" s="22">
        <f>'Raw Numbers'!$C$55-'Raw Numbers'!$B$55</f>
        <v>0</v>
      </c>
      <c r="D98" s="22">
        <f>'Raw Numbers'!$D$55-'Raw Numbers'!$C$55</f>
        <v>0</v>
      </c>
      <c r="E98" s="22">
        <f>'Raw Numbers'!$E$55-'Raw Numbers'!$D$55</f>
        <v>0</v>
      </c>
      <c r="F98" s="22">
        <f>'Raw Numbers'!$F$55</f>
        <v>0</v>
      </c>
      <c r="G98" s="22">
        <f>'Raw Numbers'!$G$55-'Raw Numbers'!$F$55</f>
        <v>0</v>
      </c>
      <c r="H98" s="22">
        <f>'Raw Numbers'!$H$55-'Raw Numbers'!$G$55</f>
        <v>0</v>
      </c>
      <c r="I98" s="22">
        <f>'Raw Numbers'!$I$55-'Raw Numbers'!$H$55</f>
        <v>0</v>
      </c>
      <c r="J98" s="22">
        <f>'Raw Numbers'!$J$55</f>
        <v>0</v>
      </c>
      <c r="K98" s="22">
        <f>'Raw Numbers'!$K$55-'Raw Numbers'!$J$55</f>
        <v>0</v>
      </c>
      <c r="L98" s="22">
        <f>'Raw Numbers'!$L$55-'Raw Numbers'!$K$55</f>
        <v>-58</v>
      </c>
      <c r="M98" s="22">
        <f>'Raw Numbers'!$M$55-'Raw Numbers'!$L$55</f>
        <v>-381</v>
      </c>
      <c r="N98" s="22">
        <f>'Raw Numbers'!$N$55</f>
        <v>-306</v>
      </c>
      <c r="O98" s="22">
        <f>'Raw Numbers'!$O$55-'Raw Numbers'!$N$55</f>
        <v>-232</v>
      </c>
      <c r="P98" s="46">
        <f>-Assumptions!B25</f>
        <v>-300</v>
      </c>
      <c r="Q98" s="23">
        <f>-Assumptions!C25</f>
        <v>-300</v>
      </c>
      <c r="R98" s="23">
        <f>-Assumptions!D25</f>
        <v>-300</v>
      </c>
      <c r="S98" s="23">
        <f>-Assumptions!E25</f>
        <v>-300</v>
      </c>
      <c r="T98" s="24"/>
      <c r="U98" s="24">
        <f t="shared" si="31"/>
        <v>0</v>
      </c>
      <c r="V98" s="24">
        <f t="shared" si="32"/>
        <v>0</v>
      </c>
      <c r="W98" s="24">
        <f t="shared" si="33"/>
        <v>-439</v>
      </c>
      <c r="X98" s="24">
        <f t="shared" si="34"/>
        <v>-1138</v>
      </c>
      <c r="Y98" s="24">
        <f t="shared" si="35"/>
        <v>-1200</v>
      </c>
    </row>
    <row r="99" spans="1:25">
      <c r="A99" s="41" t="s">
        <v>112</v>
      </c>
      <c r="B99" s="22">
        <f>'Raw Numbers'!$B$56</f>
        <v>-15</v>
      </c>
      <c r="C99" s="22">
        <f>'Raw Numbers'!$C$56-'Raw Numbers'!$B$56</f>
        <v>-27</v>
      </c>
      <c r="D99" s="22">
        <f>'Raw Numbers'!$D$56-'Raw Numbers'!$C$56</f>
        <v>-13</v>
      </c>
      <c r="E99" s="22">
        <f>'Raw Numbers'!$E$56-'Raw Numbers'!$D$56</f>
        <v>-11</v>
      </c>
      <c r="F99" s="22">
        <f>'Raw Numbers'!$F$56</f>
        <v>-15</v>
      </c>
      <c r="G99" s="22">
        <f>'Raw Numbers'!$G$56-'Raw Numbers'!$F$56</f>
        <v>-24</v>
      </c>
      <c r="H99" s="22">
        <f>'Raw Numbers'!$H$56-'Raw Numbers'!$G$56</f>
        <v>-18</v>
      </c>
      <c r="I99" s="22">
        <f>'Raw Numbers'!$I$56-'Raw Numbers'!$H$56</f>
        <v>-12</v>
      </c>
      <c r="J99" s="22">
        <f>'Raw Numbers'!$J$56</f>
        <v>-22</v>
      </c>
      <c r="K99" s="22">
        <f>'Raw Numbers'!$K$56-'Raw Numbers'!$J$56</f>
        <v>-22</v>
      </c>
      <c r="L99" s="22">
        <f>'Raw Numbers'!$L$56-'Raw Numbers'!$K$56</f>
        <v>-15</v>
      </c>
      <c r="M99" s="22">
        <f>'Raw Numbers'!$M$56-'Raw Numbers'!$L$56</f>
        <v>-14</v>
      </c>
      <c r="N99" s="22">
        <f>'Raw Numbers'!$N$56</f>
        <v>-20</v>
      </c>
      <c r="O99" s="22">
        <f>'Raw Numbers'!$O$56-'Raw Numbers'!$N$56</f>
        <v>-16</v>
      </c>
      <c r="P99" s="46">
        <f>-P5*Assumptions!B26</f>
        <v>-22.5</v>
      </c>
      <c r="Q99" s="23">
        <f>-Q5*Assumptions!C26</f>
        <v>-22.632345000000001</v>
      </c>
      <c r="R99" s="23">
        <f>-R5*Assumptions!D26</f>
        <v>-22.43835</v>
      </c>
      <c r="S99" s="23">
        <f>-S5*Assumptions!E26</f>
        <v>-23.646150000000002</v>
      </c>
      <c r="T99" s="24"/>
      <c r="U99" s="24">
        <f t="shared" si="31"/>
        <v>-66</v>
      </c>
      <c r="V99" s="24">
        <f t="shared" si="32"/>
        <v>-69</v>
      </c>
      <c r="W99" s="24">
        <f t="shared" si="33"/>
        <v>-73</v>
      </c>
      <c r="X99" s="24">
        <f t="shared" si="34"/>
        <v>-81.132345000000001</v>
      </c>
      <c r="Y99" s="24">
        <f t="shared" si="35"/>
        <v>-91.216845000000006</v>
      </c>
    </row>
    <row r="100" spans="1:25">
      <c r="A100" s="41" t="s">
        <v>113</v>
      </c>
      <c r="B100" s="22">
        <f>'Raw Numbers'!$B$57</f>
        <v>2</v>
      </c>
      <c r="C100" s="22">
        <f>'Raw Numbers'!$C$57-'Raw Numbers'!$B$57</f>
        <v>0</v>
      </c>
      <c r="D100" s="22">
        <f>'Raw Numbers'!$D$57-'Raw Numbers'!$C$57</f>
        <v>0</v>
      </c>
      <c r="E100" s="22">
        <f>'Raw Numbers'!$E$57-'Raw Numbers'!$D$57</f>
        <v>0</v>
      </c>
      <c r="F100" s="22">
        <f>'Raw Numbers'!$F$57</f>
        <v>0</v>
      </c>
      <c r="G100" s="22">
        <f>'Raw Numbers'!$G$57-'Raw Numbers'!$F$57</f>
        <v>0</v>
      </c>
      <c r="H100" s="22">
        <f>'Raw Numbers'!$H$57-'Raw Numbers'!$G$57</f>
        <v>0</v>
      </c>
      <c r="I100" s="22">
        <f>'Raw Numbers'!$I$57-'Raw Numbers'!$H$57</f>
        <v>0</v>
      </c>
      <c r="J100" s="22">
        <f>'Raw Numbers'!$J$57</f>
        <v>0</v>
      </c>
      <c r="K100" s="22">
        <f>'Raw Numbers'!$K$57-'Raw Numbers'!$J$57</f>
        <v>0</v>
      </c>
      <c r="L100" s="22">
        <f>'Raw Numbers'!$L$57-'Raw Numbers'!$K$57</f>
        <v>0</v>
      </c>
      <c r="M100" s="22">
        <f>'Raw Numbers'!$M$57-'Raw Numbers'!$L$57</f>
        <v>0</v>
      </c>
      <c r="N100" s="22">
        <f>'Raw Numbers'!$N$57</f>
        <v>0</v>
      </c>
      <c r="O100" s="22">
        <f>'Raw Numbers'!$O$57-'Raw Numbers'!$N$57</f>
        <v>0</v>
      </c>
      <c r="P100" s="52">
        <v>0</v>
      </c>
      <c r="Q100" s="37">
        <v>0</v>
      </c>
      <c r="R100" s="37">
        <v>0</v>
      </c>
      <c r="S100" s="37">
        <v>0</v>
      </c>
      <c r="T100" s="24"/>
      <c r="U100" s="24">
        <f t="shared" si="31"/>
        <v>2</v>
      </c>
      <c r="V100" s="24">
        <f t="shared" si="32"/>
        <v>0</v>
      </c>
      <c r="W100" s="24">
        <f t="shared" si="33"/>
        <v>0</v>
      </c>
      <c r="X100" s="24">
        <f t="shared" si="34"/>
        <v>0</v>
      </c>
      <c r="Y100" s="24">
        <f t="shared" si="35"/>
        <v>0</v>
      </c>
    </row>
    <row r="101" spans="1:25">
      <c r="A101" s="41" t="s">
        <v>114</v>
      </c>
      <c r="B101" s="22">
        <f>'Raw Numbers'!$B$58</f>
        <v>0</v>
      </c>
      <c r="C101" s="22">
        <f>'Raw Numbers'!$C$58-'Raw Numbers'!$B$58</f>
        <v>0</v>
      </c>
      <c r="D101" s="22">
        <f>'Raw Numbers'!$D$58-'Raw Numbers'!$C$58</f>
        <v>0</v>
      </c>
      <c r="E101" s="22">
        <f>'Raw Numbers'!$E$58-'Raw Numbers'!$D$58</f>
        <v>0</v>
      </c>
      <c r="F101" s="22">
        <f>'Raw Numbers'!$F$58</f>
        <v>0</v>
      </c>
      <c r="G101" s="22">
        <f>'Raw Numbers'!$G$58-'Raw Numbers'!$F$58</f>
        <v>0</v>
      </c>
      <c r="H101" s="22">
        <f>'Raw Numbers'!$H$58-'Raw Numbers'!$G$58</f>
        <v>0</v>
      </c>
      <c r="I101" s="22">
        <f>'Raw Numbers'!$I$58-'Raw Numbers'!$H$58</f>
        <v>0</v>
      </c>
      <c r="J101" s="22">
        <f>'Raw Numbers'!$J$58</f>
        <v>0</v>
      </c>
      <c r="K101" s="22">
        <f>'Raw Numbers'!$K$58-'Raw Numbers'!$J$58</f>
        <v>0</v>
      </c>
      <c r="L101" s="22">
        <f>'Raw Numbers'!$L$58-'Raw Numbers'!$K$58</f>
        <v>0</v>
      </c>
      <c r="M101" s="22">
        <f>'Raw Numbers'!$M$58-'Raw Numbers'!$L$58</f>
        <v>0</v>
      </c>
      <c r="N101" s="22">
        <f>'Raw Numbers'!$N$58</f>
        <v>-1304</v>
      </c>
      <c r="O101" s="22">
        <f>'Raw Numbers'!$O$58-'Raw Numbers'!$N$58</f>
        <v>0</v>
      </c>
      <c r="P101" s="52">
        <v>0</v>
      </c>
      <c r="Q101" s="37">
        <v>0</v>
      </c>
      <c r="R101" s="37">
        <v>0</v>
      </c>
      <c r="S101" s="37">
        <v>0</v>
      </c>
      <c r="T101" s="24"/>
      <c r="U101" s="24">
        <f t="shared" si="31"/>
        <v>0</v>
      </c>
      <c r="V101" s="24">
        <f t="shared" si="32"/>
        <v>0</v>
      </c>
      <c r="W101" s="24">
        <f t="shared" si="33"/>
        <v>0</v>
      </c>
      <c r="X101" s="24">
        <f t="shared" si="34"/>
        <v>-1304</v>
      </c>
      <c r="Y101" s="24">
        <f t="shared" si="35"/>
        <v>0</v>
      </c>
    </row>
    <row r="102" spans="1:25">
      <c r="A102" s="41" t="s">
        <v>115</v>
      </c>
      <c r="B102" s="22">
        <f>'Raw Numbers'!$B$59</f>
        <v>-13</v>
      </c>
      <c r="C102" s="22">
        <f>'Raw Numbers'!$C$59-'Raw Numbers'!$B$59</f>
        <v>-16</v>
      </c>
      <c r="D102" s="22">
        <f>'Raw Numbers'!$D$59-'Raw Numbers'!$C$59</f>
        <v>-20</v>
      </c>
      <c r="E102" s="22">
        <f>'Raw Numbers'!$E$59-'Raw Numbers'!$D$59</f>
        <v>-19</v>
      </c>
      <c r="F102" s="22">
        <f>'Raw Numbers'!$F$59</f>
        <v>-25</v>
      </c>
      <c r="G102" s="22">
        <f>'Raw Numbers'!$G$59-'Raw Numbers'!$F$59</f>
        <v>-32</v>
      </c>
      <c r="H102" s="22">
        <f>'Raw Numbers'!$H$59-'Raw Numbers'!$G$59</f>
        <v>-35</v>
      </c>
      <c r="I102" s="22">
        <f>'Raw Numbers'!$I$59-'Raw Numbers'!$H$59</f>
        <v>-43</v>
      </c>
      <c r="J102" s="22">
        <f>'Raw Numbers'!$J$59</f>
        <v>-56</v>
      </c>
      <c r="K102" s="22">
        <f>'Raw Numbers'!$K$59-'Raw Numbers'!$J$59</f>
        <v>-59</v>
      </c>
      <c r="L102" s="22">
        <f>'Raw Numbers'!$L$59-'Raw Numbers'!$K$59</f>
        <v>-66</v>
      </c>
      <c r="M102" s="22">
        <f>'Raw Numbers'!$M$59-'Raw Numbers'!$L$59</f>
        <v>-60</v>
      </c>
      <c r="N102" s="22">
        <f>'Raw Numbers'!$N$59</f>
        <v>-45</v>
      </c>
      <c r="O102" s="22">
        <f>'Raw Numbers'!$O$59-'Raw Numbers'!$N$59</f>
        <v>-34</v>
      </c>
      <c r="P102" s="46">
        <f>-P5*Assumptions!B27</f>
        <v>-40</v>
      </c>
      <c r="Q102" s="23">
        <f>-Q5*Assumptions!C27</f>
        <v>-40.23528000000001</v>
      </c>
      <c r="R102" s="23">
        <f>-R5*Assumptions!D27</f>
        <v>-39.8904</v>
      </c>
      <c r="S102" s="23">
        <f>-S5*Assumptions!E27</f>
        <v>-42.037600000000005</v>
      </c>
      <c r="T102" s="24"/>
      <c r="U102" s="24">
        <f t="shared" si="31"/>
        <v>-68</v>
      </c>
      <c r="V102" s="24">
        <f t="shared" si="32"/>
        <v>-135</v>
      </c>
      <c r="W102" s="24">
        <f t="shared" si="33"/>
        <v>-241</v>
      </c>
      <c r="X102" s="24">
        <f t="shared" si="34"/>
        <v>-159.23528000000002</v>
      </c>
      <c r="Y102" s="24">
        <f t="shared" si="35"/>
        <v>-162.16328000000001</v>
      </c>
    </row>
    <row r="103" spans="1:25">
      <c r="A103" s="42" t="s">
        <v>116</v>
      </c>
      <c r="B103" s="18">
        <f>'Raw Numbers'!$B$60</f>
        <v>49</v>
      </c>
      <c r="C103" s="18">
        <f>'Raw Numbers'!$C$60-'Raw Numbers'!$B$60</f>
        <v>-8</v>
      </c>
      <c r="D103" s="18">
        <f>'Raw Numbers'!$D$60-'Raw Numbers'!$C$60</f>
        <v>-1</v>
      </c>
      <c r="E103" s="18">
        <f>'Raw Numbers'!$E$60-'Raw Numbers'!$D$60</f>
        <v>194</v>
      </c>
      <c r="F103" s="18">
        <f>'Raw Numbers'!$F$60</f>
        <v>202</v>
      </c>
      <c r="G103" s="18">
        <f>'Raw Numbers'!$G$60-'Raw Numbers'!$F$60</f>
        <v>184</v>
      </c>
      <c r="H103" s="18">
        <f>'Raw Numbers'!$H$60-'Raw Numbers'!$G$60</f>
        <v>99</v>
      </c>
      <c r="I103" s="18">
        <f>'Raw Numbers'!$I$60-'Raw Numbers'!$H$60</f>
        <v>244</v>
      </c>
      <c r="J103" s="18">
        <f>'Raw Numbers'!$J$60</f>
        <v>126</v>
      </c>
      <c r="K103" s="18">
        <f>'Raw Numbers'!$K$60-'Raw Numbers'!$J$60</f>
        <v>11</v>
      </c>
      <c r="L103" s="18">
        <f>'Raw Numbers'!$L$60-'Raw Numbers'!$K$60</f>
        <v>-100</v>
      </c>
      <c r="M103" s="18">
        <f>'Raw Numbers'!$M$60-'Raw Numbers'!$L$60</f>
        <v>-418</v>
      </c>
      <c r="N103" s="18">
        <f>'Raw Numbers'!$N$60</f>
        <v>-1611</v>
      </c>
      <c r="O103" s="18">
        <f>'Raw Numbers'!$O$60-'Raw Numbers'!$N$60</f>
        <v>-218</v>
      </c>
      <c r="P103" s="49">
        <f>SUM(P97:P102)</f>
        <v>-332.5</v>
      </c>
      <c r="Q103" s="28">
        <f>SUM(Q97:Q102)</f>
        <v>-332.86762499999998</v>
      </c>
      <c r="R103" s="28">
        <f>SUM(R97:R102)</f>
        <v>-332.32875000000001</v>
      </c>
      <c r="S103" s="28">
        <f>SUM(S97:S102)</f>
        <v>-335.68374999999997</v>
      </c>
      <c r="T103" s="20"/>
      <c r="U103" s="20">
        <f t="shared" si="31"/>
        <v>234</v>
      </c>
      <c r="V103" s="20">
        <f t="shared" si="32"/>
        <v>729</v>
      </c>
      <c r="W103" s="20">
        <f t="shared" si="33"/>
        <v>-381</v>
      </c>
      <c r="X103" s="20">
        <f t="shared" si="34"/>
        <v>-2494.3676249999999</v>
      </c>
      <c r="Y103" s="20">
        <f t="shared" si="35"/>
        <v>-1333.3801249999999</v>
      </c>
    </row>
    <row r="104" spans="1:25">
      <c r="A104" s="42" t="s">
        <v>117</v>
      </c>
      <c r="B104" s="18">
        <f>'Raw Numbers'!$B$61</f>
        <v>-14</v>
      </c>
      <c r="C104" s="18">
        <f>'Raw Numbers'!$C$61-'Raw Numbers'!$B$61</f>
        <v>118</v>
      </c>
      <c r="D104" s="18">
        <f>'Raw Numbers'!$D$61-'Raw Numbers'!$C$61</f>
        <v>7</v>
      </c>
      <c r="E104" s="18">
        <f>'Raw Numbers'!$E$61-'Raw Numbers'!$D$61</f>
        <v>586</v>
      </c>
      <c r="F104" s="18">
        <f>'Raw Numbers'!$F$61</f>
        <v>299</v>
      </c>
      <c r="G104" s="18">
        <f>'Raw Numbers'!$G$61-'Raw Numbers'!$F$61</f>
        <v>584</v>
      </c>
      <c r="H104" s="18">
        <f>'Raw Numbers'!$H$61-'Raw Numbers'!$G$61</f>
        <v>732</v>
      </c>
      <c r="I104" s="18">
        <f>'Raw Numbers'!$I$61-'Raw Numbers'!$H$61</f>
        <v>-71</v>
      </c>
      <c r="J104" s="18">
        <f>'Raw Numbers'!$J$61</f>
        <v>351</v>
      </c>
      <c r="K104" s="18">
        <f>'Raw Numbers'!$K$61-'Raw Numbers'!$J$61</f>
        <v>316</v>
      </c>
      <c r="L104" s="18">
        <f>'Raw Numbers'!$L$61-'Raw Numbers'!$K$61</f>
        <v>291</v>
      </c>
      <c r="M104" s="18">
        <f>'Raw Numbers'!$M$61-'Raw Numbers'!$L$61</f>
        <v>-191</v>
      </c>
      <c r="N104" s="18">
        <f>'Raw Numbers'!$N$61</f>
        <v>-43</v>
      </c>
      <c r="O104" s="18">
        <f>'Raw Numbers'!$O$61-'Raw Numbers'!$N$61</f>
        <v>660</v>
      </c>
      <c r="P104" s="49">
        <f>P87+P96+P103</f>
        <v>534.89742000000035</v>
      </c>
      <c r="Q104" s="28">
        <f>Q87+Q96+Q103</f>
        <v>413.37236707030047</v>
      </c>
      <c r="R104" s="28">
        <f>R87+R96+R103</f>
        <v>347.08286466694472</v>
      </c>
      <c r="S104" s="28">
        <f>S87+S96+S103</f>
        <v>620.69299061935044</v>
      </c>
      <c r="T104" s="20"/>
      <c r="U104" s="20">
        <f t="shared" si="31"/>
        <v>697</v>
      </c>
      <c r="V104" s="20">
        <f t="shared" si="32"/>
        <v>1544</v>
      </c>
      <c r="W104" s="20">
        <f t="shared" si="33"/>
        <v>767</v>
      </c>
      <c r="X104" s="20">
        <f t="shared" si="34"/>
        <v>1565.2697870703007</v>
      </c>
      <c r="Y104" s="20">
        <f t="shared" si="35"/>
        <v>1916.0456423565961</v>
      </c>
    </row>
    <row r="105" spans="1:25">
      <c r="A105" s="41" t="s">
        <v>118</v>
      </c>
      <c r="B105" s="22">
        <f>'Raw Numbers'!$B$62</f>
        <v>2483</v>
      </c>
      <c r="C105" s="22">
        <f>B107</f>
        <v>2443</v>
      </c>
      <c r="D105" s="22">
        <f>C107</f>
        <v>2550</v>
      </c>
      <c r="E105" s="22">
        <f>D107</f>
        <v>2615</v>
      </c>
      <c r="F105" s="22">
        <f>'Raw Numbers'!$F$62</f>
        <v>3114</v>
      </c>
      <c r="G105" s="22">
        <f>F107</f>
        <v>3451</v>
      </c>
      <c r="H105" s="22">
        <f>G107</f>
        <v>4054</v>
      </c>
      <c r="I105" s="22">
        <f>H107</f>
        <v>4688</v>
      </c>
      <c r="J105" s="22">
        <f>'Raw Numbers'!$J$62</f>
        <v>4781</v>
      </c>
      <c r="K105" s="22">
        <f>J107</f>
        <v>5019</v>
      </c>
      <c r="L105" s="22">
        <f>K107</f>
        <v>5161</v>
      </c>
      <c r="M105" s="22">
        <f>L107</f>
        <v>5456</v>
      </c>
      <c r="N105" s="22">
        <f>'Raw Numbers'!$N$62</f>
        <v>5258</v>
      </c>
      <c r="O105" s="22">
        <f>N107</f>
        <v>5255</v>
      </c>
      <c r="P105" s="46">
        <f>O107</f>
        <v>5938</v>
      </c>
      <c r="Q105" s="23">
        <f>P107</f>
        <v>6472.8974200000002</v>
      </c>
      <c r="R105" s="23">
        <f>Q107</f>
        <v>6886.2697870703005</v>
      </c>
      <c r="S105" s="23">
        <f>R107</f>
        <v>7233.3526517372447</v>
      </c>
      <c r="T105" s="24"/>
      <c r="U105" s="24">
        <f>B105</f>
        <v>2483</v>
      </c>
      <c r="V105" s="24">
        <f>F105</f>
        <v>3114</v>
      </c>
      <c r="W105" s="24">
        <f>J105</f>
        <v>4781</v>
      </c>
      <c r="X105" s="24">
        <f>N105</f>
        <v>5258</v>
      </c>
      <c r="Y105" s="24">
        <f>P105</f>
        <v>5938</v>
      </c>
    </row>
    <row r="106" spans="1:25">
      <c r="A106" s="41" t="s">
        <v>119</v>
      </c>
      <c r="B106" s="22">
        <f>'Raw Numbers'!$B$63</f>
        <v>-26</v>
      </c>
      <c r="C106" s="22">
        <f>'Raw Numbers'!$C$63-'Raw Numbers'!$B$63</f>
        <v>-11</v>
      </c>
      <c r="D106" s="22">
        <f>'Raw Numbers'!$D$63-'Raw Numbers'!$C$63</f>
        <v>58</v>
      </c>
      <c r="E106" s="22">
        <f>'Raw Numbers'!$E$63-'Raw Numbers'!$D$63</f>
        <v>-87</v>
      </c>
      <c r="F106" s="22">
        <f>'Raw Numbers'!$F$63</f>
        <v>38</v>
      </c>
      <c r="G106" s="22">
        <f>'Raw Numbers'!$G$63-'Raw Numbers'!$F$63</f>
        <v>19</v>
      </c>
      <c r="H106" s="22">
        <f>'Raw Numbers'!$H$63-'Raw Numbers'!$G$63</f>
        <v>-98</v>
      </c>
      <c r="I106" s="22">
        <f>'Raw Numbers'!$I$63-'Raw Numbers'!$H$63</f>
        <v>164</v>
      </c>
      <c r="J106" s="22">
        <f>'Raw Numbers'!$J$63</f>
        <v>-113</v>
      </c>
      <c r="K106" s="22">
        <f>'Raw Numbers'!$K$63-'Raw Numbers'!$J$63</f>
        <v>-174</v>
      </c>
      <c r="L106" s="22">
        <f>'Raw Numbers'!$L$63-'Raw Numbers'!$K$63</f>
        <v>4</v>
      </c>
      <c r="M106" s="22">
        <f>'Raw Numbers'!$M$63-'Raw Numbers'!$L$63</f>
        <v>-7</v>
      </c>
      <c r="N106" s="22">
        <f>'Raw Numbers'!$N$63</f>
        <v>40</v>
      </c>
      <c r="O106" s="22">
        <f>'Raw Numbers'!$O$63-'Raw Numbers'!$N$63</f>
        <v>23</v>
      </c>
      <c r="P106" s="46">
        <f>Assumptions!B28</f>
        <v>0</v>
      </c>
      <c r="Q106" s="23">
        <f>Assumptions!C28</f>
        <v>0</v>
      </c>
      <c r="R106" s="23">
        <f>Assumptions!D28</f>
        <v>0</v>
      </c>
      <c r="S106" s="23">
        <f>Assumptions!E28</f>
        <v>0</v>
      </c>
      <c r="T106" s="24"/>
      <c r="U106" s="24">
        <f>SUM(B106,C106,D106,E106)</f>
        <v>-66</v>
      </c>
      <c r="V106" s="24">
        <f>SUM(F106,G106,H106,I106)</f>
        <v>123</v>
      </c>
      <c r="W106" s="24">
        <f>SUM(J106,K106,L106,M106)</f>
        <v>-290</v>
      </c>
      <c r="X106" s="24">
        <f>SUM(N106,O106,P106,Q106)</f>
        <v>63</v>
      </c>
      <c r="Y106" s="24">
        <f>SUM(P106,Q106,R106,S106)</f>
        <v>0</v>
      </c>
    </row>
    <row r="107" spans="1:25">
      <c r="A107" s="42" t="s">
        <v>120</v>
      </c>
      <c r="B107" s="18">
        <f>'Raw Numbers'!$B$64</f>
        <v>2443</v>
      </c>
      <c r="C107" s="18">
        <f>'Raw Numbers'!$C$64</f>
        <v>2550</v>
      </c>
      <c r="D107" s="18">
        <f>'Raw Numbers'!$D$64</f>
        <v>2615</v>
      </c>
      <c r="E107" s="18">
        <f>'Raw Numbers'!$E$64</f>
        <v>3114</v>
      </c>
      <c r="F107" s="18">
        <f>'Raw Numbers'!$F$64</f>
        <v>3451</v>
      </c>
      <c r="G107" s="18">
        <f>'Raw Numbers'!$G$64</f>
        <v>4054</v>
      </c>
      <c r="H107" s="18">
        <f>'Raw Numbers'!$H$64</f>
        <v>4688</v>
      </c>
      <c r="I107" s="18">
        <f>'Raw Numbers'!$I$64</f>
        <v>4781</v>
      </c>
      <c r="J107" s="18">
        <f>'Raw Numbers'!$J$64</f>
        <v>5019</v>
      </c>
      <c r="K107" s="18">
        <f>'Raw Numbers'!$K$64</f>
        <v>5161</v>
      </c>
      <c r="L107" s="18">
        <f>'Raw Numbers'!$L$64</f>
        <v>5456</v>
      </c>
      <c r="M107" s="18">
        <f>'Raw Numbers'!$M$64</f>
        <v>5258</v>
      </c>
      <c r="N107" s="18">
        <f>'Raw Numbers'!$N$64</f>
        <v>5255</v>
      </c>
      <c r="O107" s="18">
        <f>'Raw Numbers'!$O$64</f>
        <v>5938</v>
      </c>
      <c r="P107" s="49">
        <f>P105+P104+P106</f>
        <v>6472.8974200000002</v>
      </c>
      <c r="Q107" s="28">
        <f>Q105+Q104+Q106</f>
        <v>6886.2697870703005</v>
      </c>
      <c r="R107" s="28">
        <f>R105+R104+R106</f>
        <v>7233.3526517372447</v>
      </c>
      <c r="S107" s="28">
        <f>S105+S104+S106</f>
        <v>7854.0456423565956</v>
      </c>
      <c r="T107" s="20"/>
      <c r="U107" s="20">
        <f>E107</f>
        <v>3114</v>
      </c>
      <c r="V107" s="20">
        <f>I107</f>
        <v>4781</v>
      </c>
      <c r="W107" s="20">
        <f>M107</f>
        <v>5258</v>
      </c>
      <c r="X107" s="20">
        <f>Q107</f>
        <v>6886.2697870703005</v>
      </c>
      <c r="Y107" s="20">
        <f>S107</f>
        <v>7854.0456423565956</v>
      </c>
    </row>
    <row r="108" spans="1:25">
      <c r="A108" s="41" t="s">
        <v>121</v>
      </c>
      <c r="B108" s="22">
        <f>'Raw Numbers'!$B$65</f>
        <v>15</v>
      </c>
      <c r="C108" s="22">
        <f>'Raw Numbers'!$C$65-'Raw Numbers'!$B$65</f>
        <v>-15</v>
      </c>
      <c r="D108" s="22">
        <f>'Raw Numbers'!$D$65-'Raw Numbers'!$C$65</f>
        <v>22</v>
      </c>
      <c r="E108" s="22">
        <f>'Raw Numbers'!$E$65-'Raw Numbers'!$D$65</f>
        <v>-22</v>
      </c>
      <c r="F108" s="22">
        <f>'Raw Numbers'!$F$65</f>
        <v>13</v>
      </c>
      <c r="G108" s="22">
        <f>'Raw Numbers'!$G$65-'Raw Numbers'!$F$65</f>
        <v>-13</v>
      </c>
      <c r="H108" s="22">
        <f>'Raw Numbers'!$H$65-'Raw Numbers'!$G$65</f>
        <v>0</v>
      </c>
      <c r="I108" s="22">
        <f>'Raw Numbers'!$I$65-'Raw Numbers'!$H$65</f>
        <v>0</v>
      </c>
      <c r="J108" s="22">
        <f>'Raw Numbers'!$J$65</f>
        <v>18</v>
      </c>
      <c r="K108" s="22">
        <f>'Raw Numbers'!$K$65-'Raw Numbers'!$J$65</f>
        <v>-18</v>
      </c>
      <c r="L108" s="22">
        <f>'Raw Numbers'!$L$65-'Raw Numbers'!$K$65</f>
        <v>0</v>
      </c>
      <c r="M108" s="22">
        <f>'Raw Numbers'!$M$65-'Raw Numbers'!$L$65</f>
        <v>0</v>
      </c>
      <c r="N108" s="22">
        <f>'Raw Numbers'!$N$65</f>
        <v>0</v>
      </c>
      <c r="O108" s="22">
        <f>'Raw Numbers'!$O$65-'Raw Numbers'!$N$65</f>
        <v>0</v>
      </c>
      <c r="P108" s="52">
        <v>0</v>
      </c>
      <c r="Q108" s="37">
        <v>0</v>
      </c>
      <c r="R108" s="37">
        <v>0</v>
      </c>
      <c r="S108" s="37">
        <v>0</v>
      </c>
      <c r="T108" s="24"/>
      <c r="U108" s="24">
        <f>SUM(B108,C108,D108,E108)</f>
        <v>0</v>
      </c>
      <c r="V108" s="24">
        <f>SUM(F108,G108,H108,I108)</f>
        <v>0</v>
      </c>
      <c r="W108" s="24">
        <f>SUM(J108,K108,L108,M108)</f>
        <v>0</v>
      </c>
      <c r="X108" s="24">
        <f>SUM(N108,O108,P108,Q108)</f>
        <v>0</v>
      </c>
      <c r="Y108" s="24">
        <f>SUM(P108,Q108,R108,S108)</f>
        <v>0</v>
      </c>
    </row>
  </sheetData>
  <mergeCells count="4">
    <mergeCell ref="A1:Y1"/>
    <mergeCell ref="A4:Y4"/>
    <mergeCell ref="A27:Y27"/>
    <mergeCell ref="A69:Y69"/>
  </mergeCells>
  <conditionalFormatting sqref="B66:S66">
    <cfRule type="expression" dxfId="0" priority="1">
      <formula>ABS(B66)&gt;0.5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6"/>
  <sheetViews>
    <sheetView showGridLines="0" workbookViewId="0">
      <selection activeCell="D24" sqref="D24"/>
    </sheetView>
  </sheetViews>
  <sheetFormatPr baseColWidth="10" defaultColWidth="8.83203125" defaultRowHeight="14"/>
  <cols>
    <col min="1" max="1" width="24" customWidth="1"/>
    <col min="2" max="2" width="10" customWidth="1"/>
    <col min="3" max="3" width="32" customWidth="1"/>
    <col min="4" max="4" width="28.83203125" customWidth="1"/>
    <col min="5" max="7" width="14" customWidth="1"/>
    <col min="8" max="9" width="13" customWidth="1"/>
    <col min="10" max="13" width="14" customWidth="1"/>
    <col min="14" max="17" width="13" customWidth="1"/>
    <col min="18" max="18" width="10" customWidth="1"/>
  </cols>
  <sheetData>
    <row r="1" spans="1:18" ht="39" customHeight="1">
      <c r="A1" s="111" t="s">
        <v>122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3" spans="1:18">
      <c r="A3" s="54" t="s">
        <v>123</v>
      </c>
      <c r="B3" s="54" t="s">
        <v>124</v>
      </c>
      <c r="C3" s="54" t="s">
        <v>125</v>
      </c>
      <c r="D3" s="54" t="s">
        <v>126</v>
      </c>
    </row>
    <row r="4" spans="1:18">
      <c r="A4" s="55" t="s">
        <v>127</v>
      </c>
      <c r="B4" s="56">
        <v>472.89</v>
      </c>
      <c r="C4" s="57">
        <v>1.1258999999999999</v>
      </c>
      <c r="D4" s="58">
        <v>20.5</v>
      </c>
    </row>
    <row r="7" spans="1:18">
      <c r="A7" s="61" t="s">
        <v>128</v>
      </c>
      <c r="B7" s="61" t="s">
        <v>129</v>
      </c>
      <c r="C7" s="61" t="s">
        <v>130</v>
      </c>
      <c r="D7" s="60" t="s">
        <v>131</v>
      </c>
      <c r="E7" s="60" t="s">
        <v>132</v>
      </c>
      <c r="F7" s="60" t="s">
        <v>133</v>
      </c>
      <c r="G7" s="60" t="s">
        <v>134</v>
      </c>
      <c r="H7" s="60" t="s">
        <v>135</v>
      </c>
      <c r="I7" s="60" t="s">
        <v>136</v>
      </c>
      <c r="J7" s="60" t="s">
        <v>137</v>
      </c>
      <c r="K7" s="60" t="s">
        <v>138</v>
      </c>
      <c r="L7" s="60" t="s">
        <v>139</v>
      </c>
      <c r="M7" s="60" t="s">
        <v>140</v>
      </c>
      <c r="N7" s="60" t="s">
        <v>141</v>
      </c>
      <c r="O7" s="60" t="s">
        <v>142</v>
      </c>
      <c r="P7" s="60" t="s">
        <v>143</v>
      </c>
      <c r="Q7" s="60" t="s">
        <v>144</v>
      </c>
      <c r="R7" s="60" t="s">
        <v>145</v>
      </c>
    </row>
    <row r="8" spans="1:18">
      <c r="A8" s="62" t="s">
        <v>146</v>
      </c>
      <c r="B8" s="62" t="s">
        <v>147</v>
      </c>
      <c r="C8" s="62" t="s">
        <v>148</v>
      </c>
      <c r="D8" s="62" t="s">
        <v>149</v>
      </c>
      <c r="E8" s="63">
        <v>17186</v>
      </c>
      <c r="F8" s="63">
        <v>19537</v>
      </c>
      <c r="G8" s="63">
        <v>22357</v>
      </c>
      <c r="H8" s="64">
        <f t="shared" ref="H8:I13" si="0">F8/E8-1</f>
        <v>0.13679739322704521</v>
      </c>
      <c r="I8" s="64">
        <f t="shared" si="0"/>
        <v>0.14434150586067451</v>
      </c>
      <c r="J8" s="63">
        <v>2989</v>
      </c>
      <c r="K8" s="63">
        <v>3827</v>
      </c>
      <c r="L8" s="64">
        <f t="shared" ref="L8:M13" si="1">J8/F8</f>
        <v>0.15299175922608385</v>
      </c>
      <c r="M8" s="64">
        <f t="shared" si="1"/>
        <v>0.17117681263139062</v>
      </c>
      <c r="N8" s="65">
        <v>4.18</v>
      </c>
      <c r="O8" s="65">
        <v>3.51</v>
      </c>
      <c r="P8" s="65">
        <v>27.3</v>
      </c>
      <c r="Q8" s="65">
        <v>20.5</v>
      </c>
      <c r="R8" s="65">
        <v>27.9</v>
      </c>
    </row>
    <row r="9" spans="1:18">
      <c r="A9" s="62" t="s">
        <v>150</v>
      </c>
      <c r="B9" s="62" t="s">
        <v>151</v>
      </c>
      <c r="C9" s="62" t="s">
        <v>152</v>
      </c>
      <c r="D9" s="62" t="s">
        <v>153</v>
      </c>
      <c r="E9" s="63">
        <v>45183</v>
      </c>
      <c r="F9" s="63">
        <v>51219</v>
      </c>
      <c r="G9" s="63">
        <v>56985</v>
      </c>
      <c r="H9" s="64">
        <f t="shared" si="0"/>
        <v>0.13359006706062004</v>
      </c>
      <c r="I9" s="64">
        <f t="shared" si="0"/>
        <v>0.11257541146840033</v>
      </c>
      <c r="J9" s="63">
        <v>17055</v>
      </c>
      <c r="K9" s="63">
        <v>20014</v>
      </c>
      <c r="L9" s="64">
        <f t="shared" si="1"/>
        <v>0.33298190124758392</v>
      </c>
      <c r="M9" s="64">
        <f t="shared" si="1"/>
        <v>0.35121523207861716</v>
      </c>
      <c r="N9" s="65">
        <v>5.72</v>
      </c>
      <c r="O9" s="65">
        <v>5.08</v>
      </c>
      <c r="P9" s="65">
        <v>17.2</v>
      </c>
      <c r="Q9" s="65">
        <v>14.5</v>
      </c>
      <c r="R9" s="65">
        <v>18.2</v>
      </c>
    </row>
    <row r="10" spans="1:18">
      <c r="A10" s="62" t="s">
        <v>154</v>
      </c>
      <c r="B10" s="62" t="s">
        <v>155</v>
      </c>
      <c r="C10" s="62" t="s">
        <v>156</v>
      </c>
      <c r="D10" s="62" t="s">
        <v>153</v>
      </c>
      <c r="E10" s="63">
        <v>6707</v>
      </c>
      <c r="F10" s="63">
        <v>7334</v>
      </c>
      <c r="G10" s="63">
        <v>7763</v>
      </c>
      <c r="H10" s="64">
        <f t="shared" si="0"/>
        <v>9.3484419263456076E-2</v>
      </c>
      <c r="I10" s="64">
        <f t="shared" si="0"/>
        <v>5.8494682301609036E-2</v>
      </c>
      <c r="J10" s="63">
        <v>1734</v>
      </c>
      <c r="K10" s="63">
        <v>1899</v>
      </c>
      <c r="L10" s="64">
        <f t="shared" si="1"/>
        <v>0.23643305154076902</v>
      </c>
      <c r="M10" s="64">
        <f t="shared" si="1"/>
        <v>0.24462192451371892</v>
      </c>
      <c r="N10" s="65">
        <v>2.58</v>
      </c>
      <c r="O10" s="65">
        <v>2.39</v>
      </c>
      <c r="P10" s="65">
        <v>10.9</v>
      </c>
      <c r="Q10" s="65">
        <v>9.77</v>
      </c>
      <c r="R10" s="65">
        <v>16.399999999999999</v>
      </c>
    </row>
    <row r="11" spans="1:18">
      <c r="A11" s="62" t="s">
        <v>157</v>
      </c>
      <c r="B11" s="62" t="s">
        <v>158</v>
      </c>
      <c r="C11" s="62" t="s">
        <v>156</v>
      </c>
      <c r="D11" s="62" t="s">
        <v>149</v>
      </c>
      <c r="E11" s="63">
        <v>12507</v>
      </c>
      <c r="F11" s="63">
        <v>13426</v>
      </c>
      <c r="G11" s="63">
        <v>14372</v>
      </c>
      <c r="H11" s="64">
        <f t="shared" si="0"/>
        <v>7.3478851842967874E-2</v>
      </c>
      <c r="I11" s="64">
        <f t="shared" si="0"/>
        <v>7.0460300908684603E-2</v>
      </c>
      <c r="J11" s="63">
        <v>2797</v>
      </c>
      <c r="K11" s="63">
        <v>3054</v>
      </c>
      <c r="L11" s="64">
        <f t="shared" si="1"/>
        <v>0.20832712647102636</v>
      </c>
      <c r="M11" s="64">
        <f t="shared" si="1"/>
        <v>0.212496521013081</v>
      </c>
      <c r="N11" s="65">
        <v>2.2599999999999998</v>
      </c>
      <c r="O11" s="65">
        <v>2.08</v>
      </c>
      <c r="P11" s="65">
        <v>10.8</v>
      </c>
      <c r="Q11" s="65">
        <v>9.7100000000000009</v>
      </c>
      <c r="R11" s="65">
        <v>15</v>
      </c>
    </row>
    <row r="12" spans="1:18">
      <c r="A12" s="62" t="s">
        <v>159</v>
      </c>
      <c r="B12" s="62" t="s">
        <v>160</v>
      </c>
      <c r="C12" s="62" t="s">
        <v>161</v>
      </c>
      <c r="D12" s="62" t="s">
        <v>162</v>
      </c>
      <c r="E12" s="63">
        <v>32902</v>
      </c>
      <c r="F12" s="63">
        <v>35360</v>
      </c>
      <c r="G12" s="63">
        <v>38319</v>
      </c>
      <c r="H12" s="64">
        <f t="shared" si="0"/>
        <v>7.4706704759589071E-2</v>
      </c>
      <c r="I12" s="64">
        <f t="shared" si="0"/>
        <v>8.3682126696832615E-2</v>
      </c>
      <c r="J12" s="63">
        <v>11685</v>
      </c>
      <c r="K12" s="63">
        <v>12580</v>
      </c>
      <c r="L12" s="64">
        <f t="shared" si="1"/>
        <v>0.33045814479638008</v>
      </c>
      <c r="M12" s="64">
        <f t="shared" si="1"/>
        <v>0.32829666744956809</v>
      </c>
      <c r="N12" s="65">
        <v>1.64</v>
      </c>
      <c r="O12" s="65">
        <v>1.35</v>
      </c>
      <c r="P12" s="65">
        <v>4.92</v>
      </c>
      <c r="Q12" s="65">
        <v>3.99</v>
      </c>
      <c r="R12" s="65">
        <v>9.08</v>
      </c>
    </row>
    <row r="13" spans="1:18">
      <c r="A13" s="62" t="s">
        <v>163</v>
      </c>
      <c r="B13" s="62" t="s">
        <v>164</v>
      </c>
      <c r="C13" s="62" t="s">
        <v>165</v>
      </c>
      <c r="D13" s="62" t="s">
        <v>153</v>
      </c>
      <c r="E13" s="63">
        <v>8558</v>
      </c>
      <c r="F13" s="63">
        <v>8590</v>
      </c>
      <c r="G13" s="63">
        <v>8712</v>
      </c>
      <c r="H13" s="64">
        <f t="shared" si="0"/>
        <v>3.739191399859676E-3</v>
      </c>
      <c r="I13" s="64">
        <f t="shared" si="0"/>
        <v>1.4202561117578671E-2</v>
      </c>
      <c r="J13" s="63">
        <v>2643</v>
      </c>
      <c r="K13" s="63">
        <v>2636</v>
      </c>
      <c r="L13" s="64">
        <f t="shared" si="1"/>
        <v>0.30768335273573921</v>
      </c>
      <c r="M13" s="64">
        <f t="shared" si="1"/>
        <v>0.30257116620752983</v>
      </c>
      <c r="N13" s="65">
        <v>2.11</v>
      </c>
      <c r="O13" s="65">
        <v>2.1</v>
      </c>
      <c r="P13" s="65">
        <v>6.8</v>
      </c>
      <c r="Q13" s="65">
        <v>6.96</v>
      </c>
      <c r="R13" s="65">
        <v>8.7200000000000006</v>
      </c>
    </row>
    <row r="15" spans="1:18">
      <c r="A15" s="66" t="s">
        <v>166</v>
      </c>
      <c r="B15" s="66"/>
      <c r="C15" s="66"/>
      <c r="D15" s="66"/>
      <c r="E15" s="66"/>
      <c r="F15" s="66"/>
      <c r="G15" s="66"/>
      <c r="H15" s="68">
        <f>MEDIAN(H9:H13)</f>
        <v>7.4706704759589071E-2</v>
      </c>
      <c r="I15" s="68">
        <f>MEDIAN(I9:I13)</f>
        <v>7.0460300908684603E-2</v>
      </c>
      <c r="J15" s="66"/>
      <c r="K15" s="66"/>
      <c r="L15" s="68">
        <f t="shared" ref="L15:R15" si="2">MEDIAN(L9:L13)</f>
        <v>0.30768335273573921</v>
      </c>
      <c r="M15" s="68">
        <f t="shared" si="2"/>
        <v>0.30257116620752983</v>
      </c>
      <c r="N15" s="70">
        <f t="shared" si="2"/>
        <v>2.2599999999999998</v>
      </c>
      <c r="O15" s="70">
        <f t="shared" si="2"/>
        <v>2.1</v>
      </c>
      <c r="P15" s="70">
        <f t="shared" si="2"/>
        <v>10.8</v>
      </c>
      <c r="Q15" s="70">
        <f t="shared" si="2"/>
        <v>9.7100000000000009</v>
      </c>
      <c r="R15" s="70">
        <f t="shared" si="2"/>
        <v>15</v>
      </c>
    </row>
    <row r="16" spans="1:18">
      <c r="A16" s="67" t="s">
        <v>167</v>
      </c>
      <c r="B16" s="67"/>
      <c r="C16" s="67"/>
      <c r="D16" s="67"/>
      <c r="E16" s="67"/>
      <c r="F16" s="67"/>
      <c r="G16" s="67"/>
      <c r="H16" s="69">
        <f>AVERAGE(H9:H13)</f>
        <v>7.5799846865298545E-2</v>
      </c>
      <c r="I16" s="69">
        <f>AVERAGE(I9:I13)</f>
        <v>6.7883016498621052E-2</v>
      </c>
      <c r="J16" s="67"/>
      <c r="K16" s="67"/>
      <c r="L16" s="69">
        <f t="shared" ref="L16:R16" si="3">AVERAGE(L9:L13)</f>
        <v>0.28317671535829969</v>
      </c>
      <c r="M16" s="69">
        <f t="shared" si="3"/>
        <v>0.28784030225250301</v>
      </c>
      <c r="N16" s="71">
        <f t="shared" si="3"/>
        <v>2.8620000000000001</v>
      </c>
      <c r="O16" s="71">
        <f t="shared" si="3"/>
        <v>2.6</v>
      </c>
      <c r="P16" s="71">
        <f t="shared" si="3"/>
        <v>10.124000000000001</v>
      </c>
      <c r="Q16" s="71">
        <f t="shared" si="3"/>
        <v>8.9860000000000007</v>
      </c>
      <c r="R16" s="71">
        <f t="shared" si="3"/>
        <v>13.479999999999999</v>
      </c>
    </row>
    <row r="19" spans="1:2">
      <c r="A19" s="90" t="s">
        <v>168</v>
      </c>
      <c r="B19" s="90"/>
    </row>
    <row r="20" spans="1:2">
      <c r="A20" s="59" t="s">
        <v>169</v>
      </c>
      <c r="B20" s="59" t="s">
        <v>170</v>
      </c>
    </row>
    <row r="21" spans="1:2">
      <c r="A21" t="s">
        <v>171</v>
      </c>
      <c r="B21" s="72">
        <f>Q8</f>
        <v>20.5</v>
      </c>
    </row>
    <row r="22" spans="1:2">
      <c r="A22" t="s">
        <v>172</v>
      </c>
      <c r="B22" s="72">
        <f>MEDIAN(Q9:Q13)</f>
        <v>9.7100000000000009</v>
      </c>
    </row>
    <row r="23" spans="1:2">
      <c r="A23" t="s">
        <v>173</v>
      </c>
      <c r="B23" s="72">
        <f>MEDIAN(Q10:Q11)</f>
        <v>9.74</v>
      </c>
    </row>
    <row r="24" spans="1:2">
      <c r="A24" t="s">
        <v>174</v>
      </c>
      <c r="B24" s="72">
        <f>Q9</f>
        <v>14.5</v>
      </c>
    </row>
    <row r="25" spans="1:2">
      <c r="A25" t="s">
        <v>175</v>
      </c>
      <c r="B25" s="91">
        <v>12</v>
      </c>
    </row>
    <row r="26" spans="1:2">
      <c r="A26" t="s">
        <v>176</v>
      </c>
      <c r="B26" s="64">
        <f>B25/B22-1</f>
        <v>0.2358393408856847</v>
      </c>
    </row>
  </sheetData>
  <mergeCells count="1">
    <mergeCell ref="A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showGridLines="0" zoomScale="150" workbookViewId="0">
      <selection activeCell="D20" sqref="D20"/>
    </sheetView>
  </sheetViews>
  <sheetFormatPr baseColWidth="10" defaultColWidth="8.83203125" defaultRowHeight="14"/>
  <cols>
    <col min="1" max="1" width="34" customWidth="1"/>
    <col min="2" max="2" width="18" customWidth="1"/>
    <col min="3" max="3" width="3" customWidth="1"/>
    <col min="4" max="4" width="25" customWidth="1"/>
    <col min="5" max="10" width="16" customWidth="1"/>
  </cols>
  <sheetData>
    <row r="1" spans="1:10" ht="16">
      <c r="A1" s="112" t="s">
        <v>177</v>
      </c>
      <c r="B1" s="112"/>
      <c r="C1" s="112"/>
      <c r="D1" s="112"/>
      <c r="E1" s="112"/>
      <c r="F1" s="112"/>
      <c r="G1" s="112"/>
      <c r="H1" s="112"/>
    </row>
    <row r="3" spans="1:10">
      <c r="A3" s="59" t="s">
        <v>178</v>
      </c>
      <c r="B3" s="59" t="s">
        <v>170</v>
      </c>
      <c r="D3" s="113" t="s">
        <v>179</v>
      </c>
      <c r="E3" s="113"/>
      <c r="F3" s="113"/>
      <c r="G3" s="113"/>
      <c r="H3" s="113"/>
    </row>
    <row r="4" spans="1:10">
      <c r="A4" t="s">
        <v>180</v>
      </c>
      <c r="B4" s="73" t="s">
        <v>127</v>
      </c>
      <c r="D4" s="66" t="s">
        <v>181</v>
      </c>
      <c r="E4" s="70">
        <v>9</v>
      </c>
      <c r="F4" s="70">
        <v>10</v>
      </c>
      <c r="G4" s="70">
        <v>11</v>
      </c>
      <c r="H4" s="70">
        <v>12</v>
      </c>
      <c r="I4" s="70">
        <v>13</v>
      </c>
      <c r="J4" s="70">
        <v>14.5</v>
      </c>
    </row>
    <row r="5" spans="1:10">
      <c r="A5" t="s">
        <v>182</v>
      </c>
      <c r="B5" s="73" t="s">
        <v>183</v>
      </c>
      <c r="D5" t="s">
        <v>184</v>
      </c>
      <c r="E5" s="84">
        <f t="shared" ref="E5:J5" si="0">(($B$20*E$4)+$B$23+$B$24+$B$25)/$B$27*$B$7</f>
        <v>206.97126798239105</v>
      </c>
      <c r="F5" s="84">
        <f t="shared" si="0"/>
        <v>223.19825401282066</v>
      </c>
      <c r="G5" s="84">
        <f t="shared" si="0"/>
        <v>239.42524004325017</v>
      </c>
      <c r="H5" s="84">
        <f t="shared" si="0"/>
        <v>255.65222607367969</v>
      </c>
      <c r="I5" s="84">
        <f t="shared" si="0"/>
        <v>271.87921210410929</v>
      </c>
      <c r="J5" s="84">
        <f t="shared" si="0"/>
        <v>296.21969114975354</v>
      </c>
    </row>
    <row r="6" spans="1:10">
      <c r="A6" t="s">
        <v>185</v>
      </c>
      <c r="B6" s="74">
        <v>472.89</v>
      </c>
      <c r="D6" t="s">
        <v>186</v>
      </c>
      <c r="E6" s="85">
        <f t="shared" ref="E6:J6" si="1">E5/$B$6-1</f>
        <v>-0.56232682445729232</v>
      </c>
      <c r="F6" s="85">
        <f t="shared" si="1"/>
        <v>-0.52801231996273834</v>
      </c>
      <c r="G6" s="85">
        <f t="shared" si="1"/>
        <v>-0.49369781546818459</v>
      </c>
      <c r="H6" s="85">
        <f t="shared" si="1"/>
        <v>-0.45938331097363083</v>
      </c>
      <c r="I6" s="85">
        <f t="shared" si="1"/>
        <v>-0.42506880647907697</v>
      </c>
      <c r="J6" s="85">
        <f t="shared" si="1"/>
        <v>-0.37359704973724639</v>
      </c>
    </row>
    <row r="7" spans="1:10">
      <c r="A7" t="s">
        <v>125</v>
      </c>
      <c r="B7" s="75">
        <v>1.1258999999999999</v>
      </c>
    </row>
    <row r="8" spans="1:10">
      <c r="A8" t="s">
        <v>175</v>
      </c>
      <c r="B8" s="76">
        <f>'Trading Comps'!B25</f>
        <v>12</v>
      </c>
    </row>
    <row r="9" spans="1:10">
      <c r="D9" s="113" t="s">
        <v>187</v>
      </c>
      <c r="E9" s="113"/>
      <c r="F9" s="113"/>
      <c r="G9" s="113"/>
      <c r="H9" s="113"/>
    </row>
    <row r="10" spans="1:10">
      <c r="D10" t="s">
        <v>188</v>
      </c>
      <c r="E10" s="86">
        <v>205.58</v>
      </c>
    </row>
    <row r="11" spans="1:10">
      <c r="A11" s="77" t="s">
        <v>189</v>
      </c>
      <c r="B11" s="77" t="s">
        <v>190</v>
      </c>
      <c r="D11" t="s">
        <v>191</v>
      </c>
      <c r="E11" s="87">
        <v>97.22</v>
      </c>
    </row>
    <row r="12" spans="1:10">
      <c r="A12" t="s">
        <v>192</v>
      </c>
      <c r="B12" s="78">
        <f>Model!Y5</f>
        <v>20270.41</v>
      </c>
      <c r="D12" t="s">
        <v>193</v>
      </c>
      <c r="E12" s="87">
        <v>89.77</v>
      </c>
    </row>
    <row r="13" spans="1:10">
      <c r="A13" t="s">
        <v>194</v>
      </c>
      <c r="B13" s="78">
        <f>Model!Y13</f>
        <v>2888.9704600000005</v>
      </c>
      <c r="D13" t="s">
        <v>195</v>
      </c>
      <c r="E13" s="88">
        <v>20.5</v>
      </c>
    </row>
    <row r="14" spans="1:10">
      <c r="A14" t="s">
        <v>196</v>
      </c>
      <c r="B14" s="78">
        <f>Model!Y71+Model!Y72</f>
        <v>121.62246000000002</v>
      </c>
      <c r="D14" t="s">
        <v>197</v>
      </c>
      <c r="E14" s="88">
        <v>27.9</v>
      </c>
    </row>
    <row r="15" spans="1:10">
      <c r="A15" t="s">
        <v>198</v>
      </c>
      <c r="B15" s="78">
        <f>SUM(B13:B14)</f>
        <v>3010.5929200000005</v>
      </c>
    </row>
    <row r="16" spans="1:10">
      <c r="A16" t="s">
        <v>199</v>
      </c>
      <c r="B16" s="79">
        <f>B15/B12</f>
        <v>0.14852156024471141</v>
      </c>
      <c r="D16" s="89"/>
      <c r="E16" s="89"/>
      <c r="F16" s="89"/>
      <c r="G16" s="89"/>
      <c r="H16" s="89"/>
    </row>
    <row r="17" spans="1:8">
      <c r="D17" s="89"/>
      <c r="E17" s="89"/>
      <c r="F17" s="89"/>
      <c r="G17" s="89"/>
      <c r="H17" s="89"/>
    </row>
    <row r="19" spans="1:8">
      <c r="A19" s="77" t="s">
        <v>200</v>
      </c>
      <c r="B19" s="77" t="s">
        <v>170</v>
      </c>
    </row>
    <row r="20" spans="1:8">
      <c r="A20" t="s">
        <v>201</v>
      </c>
      <c r="B20" s="78">
        <f>B15</f>
        <v>3010.5929200000005</v>
      </c>
    </row>
    <row r="21" spans="1:8">
      <c r="A21" t="s">
        <v>202</v>
      </c>
      <c r="B21" s="80">
        <f>B8</f>
        <v>12</v>
      </c>
    </row>
    <row r="22" spans="1:8">
      <c r="A22" t="s">
        <v>203</v>
      </c>
      <c r="B22" s="78">
        <f>B20*B21</f>
        <v>36127.115040000004</v>
      </c>
    </row>
    <row r="23" spans="1:8">
      <c r="A23" t="s">
        <v>204</v>
      </c>
      <c r="B23" s="78">
        <f>Model!S40</f>
        <v>7854.0456423565956</v>
      </c>
    </row>
    <row r="24" spans="1:8">
      <c r="A24" t="s">
        <v>205</v>
      </c>
      <c r="B24" s="78">
        <f>Model!S39</f>
        <v>3450</v>
      </c>
    </row>
    <row r="25" spans="1:8">
      <c r="A25" t="s">
        <v>206</v>
      </c>
      <c r="B25" s="78">
        <f>-(Model!S50+Model!S60)</f>
        <v>0</v>
      </c>
    </row>
    <row r="26" spans="1:8">
      <c r="A26" t="s">
        <v>207</v>
      </c>
      <c r="B26" s="78">
        <f>SUM(B22:B25)</f>
        <v>47431.160682356596</v>
      </c>
    </row>
    <row r="27" spans="1:8">
      <c r="A27" t="s">
        <v>208</v>
      </c>
      <c r="B27" s="81">
        <f>Model!S24</f>
        <v>208.88824099999999</v>
      </c>
    </row>
    <row r="28" spans="1:8">
      <c r="A28" t="s">
        <v>209</v>
      </c>
      <c r="B28" s="82">
        <f>B26/B27</f>
        <v>227.06477135951658</v>
      </c>
    </row>
    <row r="30" spans="1:8">
      <c r="A30" s="83" t="s">
        <v>210</v>
      </c>
      <c r="B30" s="92">
        <f>B28*B7</f>
        <v>255.65222607367969</v>
      </c>
    </row>
    <row r="31" spans="1:8">
      <c r="A31" s="83" t="s">
        <v>211</v>
      </c>
      <c r="B31" s="93">
        <f>B30/B6-1</f>
        <v>-0.45938331097363083</v>
      </c>
    </row>
  </sheetData>
  <mergeCells count="3">
    <mergeCell ref="A1:H1"/>
    <mergeCell ref="D3:H3"/>
    <mergeCell ref="D9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9"/>
  <sheetViews>
    <sheetView showGridLines="0" workbookViewId="0">
      <selection activeCell="D38" sqref="D38"/>
    </sheetView>
  </sheetViews>
  <sheetFormatPr baseColWidth="10" defaultColWidth="8.83203125" defaultRowHeight="14"/>
  <cols>
    <col min="1" max="1" width="34" customWidth="1"/>
    <col min="2" max="5" width="20" customWidth="1"/>
  </cols>
  <sheetData>
    <row r="1" spans="1:6" ht="16">
      <c r="A1" s="116" t="s">
        <v>212</v>
      </c>
      <c r="B1" s="116"/>
      <c r="C1" s="116"/>
      <c r="D1" s="116"/>
      <c r="E1" s="116"/>
      <c r="F1" s="117"/>
    </row>
    <row r="2" spans="1:6">
      <c r="A2" s="1"/>
      <c r="B2" s="1"/>
      <c r="C2" s="1"/>
      <c r="D2" s="1"/>
      <c r="E2" s="1"/>
    </row>
    <row r="3" spans="1:6">
      <c r="A3" s="2" t="s">
        <v>213</v>
      </c>
      <c r="B3" s="3" t="s">
        <v>16</v>
      </c>
      <c r="C3" s="3" t="s">
        <v>17</v>
      </c>
      <c r="D3" s="3" t="s">
        <v>18</v>
      </c>
      <c r="E3" s="3" t="s">
        <v>19</v>
      </c>
    </row>
    <row r="4" spans="1:6">
      <c r="A4" s="1" t="s">
        <v>192</v>
      </c>
      <c r="B4" s="10">
        <v>5000</v>
      </c>
      <c r="C4" s="10"/>
      <c r="D4" s="10"/>
      <c r="E4" s="10"/>
    </row>
    <row r="5" spans="1:6">
      <c r="A5" s="1" t="s">
        <v>214</v>
      </c>
      <c r="B5" s="11"/>
      <c r="C5" s="11">
        <v>0.11</v>
      </c>
      <c r="D5" s="11">
        <v>0.1</v>
      </c>
      <c r="E5" s="11">
        <v>0.1</v>
      </c>
    </row>
    <row r="6" spans="1:6">
      <c r="A6" s="1" t="s">
        <v>29</v>
      </c>
      <c r="B6" s="11">
        <v>0.32900000000000001</v>
      </c>
      <c r="C6" s="11">
        <v>0.32700000000000001</v>
      </c>
      <c r="D6" s="11">
        <v>0.32800000000000001</v>
      </c>
      <c r="E6" s="11">
        <v>0.32900000000000001</v>
      </c>
    </row>
    <row r="7" spans="1:6">
      <c r="A7" s="1" t="s">
        <v>215</v>
      </c>
      <c r="B7" s="10">
        <v>670</v>
      </c>
      <c r="C7" s="10"/>
      <c r="D7" s="10"/>
      <c r="E7" s="10"/>
    </row>
    <row r="8" spans="1:6">
      <c r="A8" s="1" t="s">
        <v>216</v>
      </c>
      <c r="B8" s="11">
        <v>0.42</v>
      </c>
      <c r="C8" s="11"/>
      <c r="D8" s="11"/>
      <c r="E8" s="11"/>
    </row>
    <row r="9" spans="1:6">
      <c r="A9" s="1" t="s">
        <v>217</v>
      </c>
      <c r="B9" s="11">
        <v>0.42</v>
      </c>
      <c r="C9" s="11"/>
      <c r="D9" s="11"/>
      <c r="E9" s="11"/>
    </row>
    <row r="10" spans="1:6">
      <c r="A10" s="1" t="s">
        <v>218</v>
      </c>
      <c r="B10" s="11">
        <v>0.16</v>
      </c>
      <c r="C10" s="11"/>
      <c r="D10" s="11"/>
      <c r="E10" s="11"/>
    </row>
    <row r="11" spans="1:6">
      <c r="A11" s="1" t="s">
        <v>219</v>
      </c>
      <c r="B11" s="11"/>
      <c r="C11" s="11">
        <v>7.4999999999999997E-2</v>
      </c>
      <c r="D11" s="11">
        <v>7.5999999999999998E-2</v>
      </c>
      <c r="E11" s="11">
        <v>7.8E-2</v>
      </c>
    </row>
    <row r="12" spans="1:6">
      <c r="A12" s="1" t="s">
        <v>220</v>
      </c>
      <c r="B12" s="11"/>
      <c r="C12" s="11">
        <v>0.08</v>
      </c>
      <c r="D12" s="11">
        <v>0.08</v>
      </c>
      <c r="E12" s="11">
        <v>0.08</v>
      </c>
    </row>
    <row r="13" spans="1:6">
      <c r="A13" s="1" t="s">
        <v>221</v>
      </c>
      <c r="B13" s="11"/>
      <c r="C13" s="11">
        <v>2.5999999999999999E-2</v>
      </c>
      <c r="D13" s="11">
        <v>2.5999999999999999E-2</v>
      </c>
      <c r="E13" s="11">
        <v>2.7E-2</v>
      </c>
    </row>
    <row r="14" spans="1:6">
      <c r="A14" s="1" t="s">
        <v>222</v>
      </c>
      <c r="B14" s="11">
        <v>3.5000000000000003E-2</v>
      </c>
      <c r="C14" s="11">
        <v>3.5000000000000003E-2</v>
      </c>
      <c r="D14" s="11">
        <v>3.5000000000000003E-2</v>
      </c>
      <c r="E14" s="11">
        <v>3.5000000000000003E-2</v>
      </c>
    </row>
    <row r="15" spans="1:6">
      <c r="A15" s="1" t="s">
        <v>223</v>
      </c>
      <c r="B15" s="11">
        <v>4.4999999999999997E-3</v>
      </c>
      <c r="C15" s="11">
        <v>4.4999999999999997E-3</v>
      </c>
      <c r="D15" s="11">
        <v>4.4999999999999997E-3</v>
      </c>
      <c r="E15" s="11">
        <v>4.4999999999999997E-3</v>
      </c>
    </row>
    <row r="16" spans="1:6">
      <c r="A16" s="1" t="s">
        <v>224</v>
      </c>
      <c r="B16" s="11">
        <v>0.24</v>
      </c>
      <c r="C16" s="11">
        <v>0.24</v>
      </c>
      <c r="D16" s="11">
        <v>0.24</v>
      </c>
      <c r="E16" s="11">
        <v>0.24</v>
      </c>
    </row>
    <row r="17" spans="1:5">
      <c r="A17" s="1" t="s">
        <v>225</v>
      </c>
      <c r="B17" s="10">
        <v>0</v>
      </c>
      <c r="C17" s="10">
        <v>0</v>
      </c>
      <c r="D17" s="10">
        <v>0</v>
      </c>
      <c r="E17" s="10">
        <v>0</v>
      </c>
    </row>
    <row r="18" spans="1:5">
      <c r="A18" s="1" t="s">
        <v>226</v>
      </c>
      <c r="B18" s="10">
        <v>3.1</v>
      </c>
      <c r="C18" s="10">
        <v>3.1</v>
      </c>
      <c r="D18" s="10">
        <v>3.1</v>
      </c>
      <c r="E18" s="10">
        <v>3.1</v>
      </c>
    </row>
    <row r="19" spans="1:5">
      <c r="A19" s="1" t="s">
        <v>227</v>
      </c>
      <c r="B19" s="11">
        <v>5.0000000000000001E-3</v>
      </c>
      <c r="C19" s="11">
        <v>5.0000000000000001E-3</v>
      </c>
      <c r="D19" s="11">
        <v>5.0000000000000001E-3</v>
      </c>
      <c r="E19" s="11">
        <v>5.0000000000000001E-3</v>
      </c>
    </row>
    <row r="20" spans="1:5">
      <c r="A20" s="1" t="s">
        <v>228</v>
      </c>
      <c r="B20" s="11">
        <v>1E-3</v>
      </c>
      <c r="C20" s="11">
        <v>1E-3</v>
      </c>
      <c r="D20" s="11">
        <v>1E-3</v>
      </c>
      <c r="E20" s="11">
        <v>1E-3</v>
      </c>
    </row>
    <row r="21" spans="1:5">
      <c r="A21" s="1" t="s">
        <v>229</v>
      </c>
      <c r="B21" s="11">
        <v>1.6E-2</v>
      </c>
      <c r="C21" s="11">
        <v>1.6E-2</v>
      </c>
      <c r="D21" s="11">
        <v>1.6E-2</v>
      </c>
      <c r="E21" s="11">
        <v>1.6E-2</v>
      </c>
    </row>
    <row r="22" spans="1:5">
      <c r="A22" s="1" t="s">
        <v>230</v>
      </c>
      <c r="B22" s="11">
        <v>0.85</v>
      </c>
      <c r="C22" s="11">
        <v>0.85</v>
      </c>
      <c r="D22" s="11">
        <v>0.85</v>
      </c>
      <c r="E22" s="11">
        <v>0.85</v>
      </c>
    </row>
    <row r="23" spans="1:5">
      <c r="A23" s="1" t="s">
        <v>231</v>
      </c>
      <c r="B23" s="11">
        <v>5.4999999999999997E-3</v>
      </c>
      <c r="C23" s="11">
        <v>5.4999999999999997E-3</v>
      </c>
      <c r="D23" s="11">
        <v>5.4999999999999997E-3</v>
      </c>
      <c r="E23" s="11">
        <v>5.4999999999999997E-3</v>
      </c>
    </row>
    <row r="24" spans="1:5">
      <c r="A24" s="1" t="s">
        <v>232</v>
      </c>
      <c r="B24" s="10">
        <v>30</v>
      </c>
      <c r="C24" s="10">
        <v>30</v>
      </c>
      <c r="D24" s="10">
        <v>30</v>
      </c>
      <c r="E24" s="10">
        <v>30</v>
      </c>
    </row>
    <row r="25" spans="1:5">
      <c r="A25" s="1" t="s">
        <v>233</v>
      </c>
      <c r="B25" s="10">
        <v>300</v>
      </c>
      <c r="C25" s="10">
        <v>300</v>
      </c>
      <c r="D25" s="10">
        <v>300</v>
      </c>
      <c r="E25" s="10">
        <v>300</v>
      </c>
    </row>
    <row r="26" spans="1:5">
      <c r="A26" s="1" t="s">
        <v>234</v>
      </c>
      <c r="B26" s="11">
        <v>4.4999999999999997E-3</v>
      </c>
      <c r="C26" s="11">
        <v>4.4999999999999997E-3</v>
      </c>
      <c r="D26" s="11">
        <v>4.4999999999999997E-3</v>
      </c>
      <c r="E26" s="11">
        <v>4.4999999999999997E-3</v>
      </c>
    </row>
    <row r="27" spans="1:5">
      <c r="A27" s="1" t="s">
        <v>235</v>
      </c>
      <c r="B27" s="11">
        <v>8.0000000000000002E-3</v>
      </c>
      <c r="C27" s="11">
        <v>8.0000000000000002E-3</v>
      </c>
      <c r="D27" s="11">
        <v>8.0000000000000002E-3</v>
      </c>
      <c r="E27" s="11">
        <v>8.0000000000000002E-3</v>
      </c>
    </row>
    <row r="28" spans="1:5">
      <c r="A28" s="1" t="s">
        <v>236</v>
      </c>
      <c r="B28" s="10">
        <v>0</v>
      </c>
      <c r="C28" s="10">
        <v>0</v>
      </c>
      <c r="D28" s="10">
        <v>0</v>
      </c>
      <c r="E28" s="10">
        <v>0</v>
      </c>
    </row>
    <row r="29" spans="1:5">
      <c r="A29" s="1" t="s">
        <v>237</v>
      </c>
      <c r="B29" s="11">
        <v>-0.01</v>
      </c>
      <c r="C29" s="11">
        <v>-0.01</v>
      </c>
      <c r="D29" s="11">
        <v>-0.01</v>
      </c>
      <c r="E29" s="11">
        <v>-0.01</v>
      </c>
    </row>
    <row r="30" spans="1:5">
      <c r="A30" s="1" t="s">
        <v>238</v>
      </c>
      <c r="B30" s="11">
        <v>0.16300000000000001</v>
      </c>
      <c r="C30" s="11">
        <v>0.16300000000000001</v>
      </c>
      <c r="D30" s="11">
        <v>0.16300000000000001</v>
      </c>
      <c r="E30" s="11">
        <v>0.16300000000000001</v>
      </c>
    </row>
    <row r="31" spans="1:5">
      <c r="A31" s="1" t="s">
        <v>239</v>
      </c>
      <c r="B31" s="11">
        <v>2.5000000000000001E-2</v>
      </c>
      <c r="C31" s="11">
        <v>2.5000000000000001E-2</v>
      </c>
      <c r="D31" s="11">
        <v>2.5000000000000001E-2</v>
      </c>
      <c r="E31" s="11">
        <v>2.5000000000000001E-2</v>
      </c>
    </row>
    <row r="32" spans="1:5">
      <c r="A32" s="1" t="s">
        <v>240</v>
      </c>
      <c r="B32" s="11">
        <v>0.42</v>
      </c>
      <c r="C32" s="11">
        <v>0.42</v>
      </c>
      <c r="D32" s="11">
        <v>0.42</v>
      </c>
      <c r="E32" s="11">
        <v>0.42</v>
      </c>
    </row>
    <row r="33" spans="1:5">
      <c r="A33" s="1" t="s">
        <v>241</v>
      </c>
      <c r="B33" s="11">
        <v>0.16300000000000001</v>
      </c>
      <c r="C33" s="11">
        <v>0.16300000000000001</v>
      </c>
      <c r="D33" s="11">
        <v>0.16300000000000001</v>
      </c>
      <c r="E33" s="11">
        <v>0.16300000000000001</v>
      </c>
    </row>
    <row r="34" spans="1:5">
      <c r="A34" s="1" t="s">
        <v>242</v>
      </c>
      <c r="B34" s="11">
        <v>0.54</v>
      </c>
      <c r="C34" s="11">
        <v>0.54</v>
      </c>
      <c r="D34" s="11">
        <v>0.54</v>
      </c>
      <c r="E34" s="11">
        <v>0.54</v>
      </c>
    </row>
    <row r="35" spans="1:5">
      <c r="A35" s="1" t="s">
        <v>243</v>
      </c>
      <c r="B35" s="11">
        <v>-0.02</v>
      </c>
      <c r="C35" s="11">
        <v>-0.02</v>
      </c>
      <c r="D35" s="11">
        <v>-0.02</v>
      </c>
      <c r="E35" s="11">
        <v>-0.02</v>
      </c>
    </row>
    <row r="36" spans="1:5">
      <c r="A36" s="1" t="s">
        <v>244</v>
      </c>
      <c r="B36" s="10">
        <v>45</v>
      </c>
      <c r="C36" s="10">
        <v>45</v>
      </c>
      <c r="D36" s="10">
        <v>45</v>
      </c>
      <c r="E36" s="10">
        <v>45</v>
      </c>
    </row>
    <row r="37" spans="1:5">
      <c r="A37" s="1" t="s">
        <v>245</v>
      </c>
      <c r="B37" s="10">
        <v>20</v>
      </c>
      <c r="C37" s="10">
        <v>20</v>
      </c>
      <c r="D37" s="10">
        <v>20</v>
      </c>
      <c r="E37" s="10">
        <v>20</v>
      </c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0"/>
  <sheetViews>
    <sheetView showGridLines="0" tabSelected="1" workbookViewId="0">
      <selection activeCell="S41" sqref="S41"/>
    </sheetView>
  </sheetViews>
  <sheetFormatPr baseColWidth="10" defaultColWidth="8.83203125" defaultRowHeight="14"/>
  <cols>
    <col min="1" max="1" width="42" customWidth="1"/>
    <col min="2" max="15" width="12" customWidth="1"/>
  </cols>
  <sheetData>
    <row r="1" spans="1:17" ht="16">
      <c r="A1" s="116" t="s">
        <v>246</v>
      </c>
      <c r="B1" s="116"/>
      <c r="C1" s="116"/>
      <c r="D1" s="116"/>
      <c r="E1" s="116"/>
      <c r="F1" s="116"/>
      <c r="G1" s="116"/>
      <c r="H1" s="116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247</v>
      </c>
      <c r="B3" s="3" t="s">
        <v>20</v>
      </c>
      <c r="C3" s="3" t="s">
        <v>21</v>
      </c>
      <c r="D3" s="3" t="s">
        <v>22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 t="s">
        <v>26</v>
      </c>
      <c r="B4" s="4">
        <v>13247</v>
      </c>
      <c r="C4" s="4">
        <v>15673</v>
      </c>
      <c r="D4" s="4">
        <v>17186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 t="s">
        <v>27</v>
      </c>
      <c r="B5" s="4">
        <v>9850</v>
      </c>
      <c r="C5" s="4">
        <v>10949</v>
      </c>
      <c r="D5" s="4">
        <v>11690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 t="s">
        <v>28</v>
      </c>
      <c r="B6" s="4">
        <v>3397</v>
      </c>
      <c r="C6" s="4">
        <v>4724</v>
      </c>
      <c r="D6" s="4">
        <v>5496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 t="s">
        <v>248</v>
      </c>
      <c r="B7" s="4">
        <v>1725</v>
      </c>
      <c r="C7" s="4">
        <v>1486</v>
      </c>
      <c r="D7" s="4">
        <v>1393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 t="s">
        <v>249</v>
      </c>
      <c r="B8" s="4">
        <v>1533</v>
      </c>
      <c r="C8" s="4">
        <v>1392</v>
      </c>
      <c r="D8" s="4">
        <v>1426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" t="s">
        <v>250</v>
      </c>
      <c r="B9" s="4">
        <v>585</v>
      </c>
      <c r="C9" s="4">
        <v>481</v>
      </c>
      <c r="D9" s="4">
        <v>479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 t="s">
        <v>251</v>
      </c>
      <c r="B10" s="4">
        <v>3843</v>
      </c>
      <c r="C10" s="4">
        <v>3359</v>
      </c>
      <c r="D10" s="4">
        <v>3298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 t="s">
        <v>252</v>
      </c>
      <c r="B11" s="4">
        <v>-446</v>
      </c>
      <c r="C11" s="4">
        <v>1365</v>
      </c>
      <c r="D11" s="4">
        <v>2198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 t="s">
        <v>36</v>
      </c>
      <c r="B12" s="4">
        <v>161</v>
      </c>
      <c r="C12" s="4">
        <v>328</v>
      </c>
      <c r="D12" s="4">
        <v>292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 t="s">
        <v>37</v>
      </c>
      <c r="B13" s="4">
        <v>-220</v>
      </c>
      <c r="C13" s="4">
        <v>-352</v>
      </c>
      <c r="D13" s="4">
        <v>-266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 t="s">
        <v>253</v>
      </c>
      <c r="B14" s="4">
        <v>-59</v>
      </c>
      <c r="C14" s="4">
        <v>-24</v>
      </c>
      <c r="D14" s="4">
        <v>26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 t="s">
        <v>254</v>
      </c>
      <c r="B15" s="4">
        <v>-505</v>
      </c>
      <c r="C15" s="4">
        <v>1341</v>
      </c>
      <c r="D15" s="4">
        <v>2224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 t="s">
        <v>255</v>
      </c>
      <c r="B16" s="4">
        <v>27</v>
      </c>
      <c r="C16" s="4">
        <v>203</v>
      </c>
      <c r="D16" s="4">
        <v>12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 t="s">
        <v>256</v>
      </c>
      <c r="B17" s="4">
        <v>-532</v>
      </c>
      <c r="C17" s="4">
        <v>1138</v>
      </c>
      <c r="D17" s="4">
        <v>2212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 t="s">
        <v>42</v>
      </c>
      <c r="B18" s="5">
        <v>-2.73</v>
      </c>
      <c r="C18" s="5">
        <v>5.67</v>
      </c>
      <c r="D18" s="5">
        <v>10.77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 t="s">
        <v>43</v>
      </c>
      <c r="B19" s="5">
        <v>-2.73</v>
      </c>
      <c r="C19" s="5">
        <v>5.5</v>
      </c>
      <c r="D19" s="5">
        <v>10.51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 t="s">
        <v>257</v>
      </c>
      <c r="B20" s="6">
        <v>194.732304</v>
      </c>
      <c r="C20" s="6">
        <v>200.62251800000001</v>
      </c>
      <c r="D20" s="6">
        <v>205.41295099999999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 t="s">
        <v>258</v>
      </c>
      <c r="B21" s="6">
        <v>194.732304</v>
      </c>
      <c r="C21" s="6">
        <v>206.99036899999999</v>
      </c>
      <c r="D21" s="6">
        <v>210.509173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7" t="s">
        <v>259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"/>
      <c r="Q25" s="1"/>
    </row>
    <row r="26" spans="1:17">
      <c r="A26" s="8" t="s">
        <v>260</v>
      </c>
      <c r="B26" s="9" t="s">
        <v>261</v>
      </c>
      <c r="C26" s="9" t="s">
        <v>262</v>
      </c>
      <c r="D26" s="9" t="s">
        <v>263</v>
      </c>
      <c r="E26" s="9" t="s">
        <v>264</v>
      </c>
      <c r="F26" s="9" t="s">
        <v>265</v>
      </c>
      <c r="G26" s="9" t="s">
        <v>266</v>
      </c>
      <c r="H26" s="9" t="s">
        <v>267</v>
      </c>
      <c r="I26" s="9" t="s">
        <v>268</v>
      </c>
      <c r="J26" s="9" t="s">
        <v>269</v>
      </c>
      <c r="K26" s="9" t="s">
        <v>270</v>
      </c>
      <c r="L26" s="9" t="s">
        <v>271</v>
      </c>
      <c r="M26" s="9" t="s">
        <v>272</v>
      </c>
      <c r="N26" s="9" t="s">
        <v>273</v>
      </c>
      <c r="O26" s="9" t="s">
        <v>274</v>
      </c>
      <c r="P26" s="1"/>
      <c r="Q26" s="1"/>
    </row>
    <row r="27" spans="1:17">
      <c r="A27" s="1" t="s">
        <v>41</v>
      </c>
      <c r="B27" s="4">
        <v>-225</v>
      </c>
      <c r="C27" s="4">
        <v>-527</v>
      </c>
      <c r="D27" s="4">
        <v>-462</v>
      </c>
      <c r="E27" s="4">
        <v>-532</v>
      </c>
      <c r="F27" s="4">
        <v>197</v>
      </c>
      <c r="G27" s="4">
        <v>471</v>
      </c>
      <c r="H27" s="4">
        <v>771</v>
      </c>
      <c r="I27" s="4">
        <v>1138</v>
      </c>
      <c r="J27" s="4">
        <v>225</v>
      </c>
      <c r="K27" s="4">
        <v>139</v>
      </c>
      <c r="L27" s="4">
        <v>1038</v>
      </c>
      <c r="M27" s="4">
        <v>2212</v>
      </c>
      <c r="N27" s="4">
        <v>721</v>
      </c>
      <c r="O27" s="4">
        <v>1266</v>
      </c>
      <c r="P27" s="1"/>
      <c r="Q27" s="1"/>
    </row>
    <row r="28" spans="1:17">
      <c r="A28" s="1" t="s">
        <v>87</v>
      </c>
      <c r="B28" s="4">
        <v>31</v>
      </c>
      <c r="C28" s="4">
        <v>61</v>
      </c>
      <c r="D28" s="4">
        <v>87</v>
      </c>
      <c r="E28" s="4">
        <v>110</v>
      </c>
      <c r="F28" s="4">
        <v>22</v>
      </c>
      <c r="G28" s="4">
        <v>43</v>
      </c>
      <c r="H28" s="4">
        <v>64</v>
      </c>
      <c r="I28" s="4">
        <v>85</v>
      </c>
      <c r="J28" s="4">
        <v>20</v>
      </c>
      <c r="K28" s="4">
        <v>40</v>
      </c>
      <c r="L28" s="4">
        <v>59</v>
      </c>
      <c r="M28" s="4">
        <v>79</v>
      </c>
      <c r="N28" s="4">
        <v>20</v>
      </c>
      <c r="O28" s="4">
        <v>44</v>
      </c>
      <c r="P28" s="1"/>
      <c r="Q28" s="1"/>
    </row>
    <row r="29" spans="1:17">
      <c r="A29" s="1" t="s">
        <v>88</v>
      </c>
      <c r="B29" s="4">
        <v>13</v>
      </c>
      <c r="C29" s="4">
        <v>27</v>
      </c>
      <c r="D29" s="4">
        <v>37</v>
      </c>
      <c r="E29" s="4">
        <v>48</v>
      </c>
      <c r="F29" s="4">
        <v>9</v>
      </c>
      <c r="G29" s="4">
        <v>18</v>
      </c>
      <c r="H29" s="4">
        <v>27</v>
      </c>
      <c r="I29" s="4">
        <v>36</v>
      </c>
      <c r="J29" s="4">
        <v>7</v>
      </c>
      <c r="K29" s="4">
        <v>13</v>
      </c>
      <c r="L29" s="4">
        <v>18</v>
      </c>
      <c r="M29" s="4">
        <v>23</v>
      </c>
      <c r="N29" s="4">
        <v>6</v>
      </c>
      <c r="O29" s="4">
        <v>11</v>
      </c>
      <c r="P29" s="1"/>
      <c r="Q29" s="1"/>
    </row>
    <row r="30" spans="1:17">
      <c r="A30" s="1" t="s">
        <v>89</v>
      </c>
      <c r="B30" s="4">
        <v>0</v>
      </c>
      <c r="C30" s="4">
        <v>90</v>
      </c>
      <c r="D30" s="4">
        <v>90</v>
      </c>
      <c r="E30" s="4">
        <v>123</v>
      </c>
      <c r="F30" s="4">
        <v>4</v>
      </c>
      <c r="G30" s="4">
        <v>18</v>
      </c>
      <c r="H30" s="4">
        <v>18</v>
      </c>
      <c r="I30" s="4">
        <v>43</v>
      </c>
      <c r="J30" s="4">
        <v>2</v>
      </c>
      <c r="K30" s="4">
        <v>3</v>
      </c>
      <c r="L30" s="4">
        <v>8</v>
      </c>
      <c r="M30" s="4">
        <v>8</v>
      </c>
      <c r="N30" s="4">
        <v>4</v>
      </c>
      <c r="O30" s="4">
        <v>4</v>
      </c>
      <c r="P30" s="1"/>
      <c r="Q30" s="1"/>
    </row>
    <row r="31" spans="1:17">
      <c r="A31" s="1" t="s">
        <v>90</v>
      </c>
      <c r="B31" s="4">
        <v>0</v>
      </c>
      <c r="C31" s="4">
        <v>30</v>
      </c>
      <c r="D31" s="4">
        <v>30</v>
      </c>
      <c r="E31" s="4">
        <v>29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1"/>
      <c r="Q31" s="1"/>
    </row>
    <row r="32" spans="1:17">
      <c r="A32" s="1" t="s">
        <v>91</v>
      </c>
      <c r="B32" s="4">
        <v>105</v>
      </c>
      <c r="C32" s="4">
        <v>202</v>
      </c>
      <c r="D32" s="4">
        <v>287</v>
      </c>
      <c r="E32" s="4">
        <v>321</v>
      </c>
      <c r="F32" s="4">
        <v>69</v>
      </c>
      <c r="G32" s="4">
        <v>150</v>
      </c>
      <c r="H32" s="4">
        <v>213</v>
      </c>
      <c r="I32" s="4">
        <v>267</v>
      </c>
      <c r="J32" s="4">
        <v>42</v>
      </c>
      <c r="K32" s="4">
        <v>115</v>
      </c>
      <c r="L32" s="4">
        <v>190</v>
      </c>
      <c r="M32" s="4">
        <v>247</v>
      </c>
      <c r="N32" s="4">
        <v>56</v>
      </c>
      <c r="O32" s="4">
        <v>142</v>
      </c>
      <c r="P32" s="1"/>
      <c r="Q32" s="1"/>
    </row>
    <row r="33" spans="1:17">
      <c r="A33" s="1" t="s">
        <v>36</v>
      </c>
      <c r="B33" s="4">
        <v>-27</v>
      </c>
      <c r="C33" s="4">
        <v>-60</v>
      </c>
      <c r="D33" s="4">
        <v>-115</v>
      </c>
      <c r="E33" s="4">
        <v>-161</v>
      </c>
      <c r="F33" s="4">
        <v>-59</v>
      </c>
      <c r="G33" s="4">
        <v>-135</v>
      </c>
      <c r="H33" s="4">
        <v>-201</v>
      </c>
      <c r="I33" s="4">
        <v>-328</v>
      </c>
      <c r="J33" s="4">
        <v>-71</v>
      </c>
      <c r="K33" s="4">
        <v>-160</v>
      </c>
      <c r="L33" s="4">
        <v>-422</v>
      </c>
      <c r="M33" s="4">
        <v>-292</v>
      </c>
      <c r="N33" s="4">
        <v>-248</v>
      </c>
      <c r="O33" s="4">
        <v>-334</v>
      </c>
      <c r="P33" s="1"/>
      <c r="Q33" s="1"/>
    </row>
    <row r="34" spans="1:17">
      <c r="A34" s="1" t="s">
        <v>37</v>
      </c>
      <c r="B34" s="4">
        <v>77</v>
      </c>
      <c r="C34" s="4">
        <v>104</v>
      </c>
      <c r="D34" s="4">
        <v>118</v>
      </c>
      <c r="E34" s="4">
        <v>220</v>
      </c>
      <c r="F34" s="4">
        <v>53</v>
      </c>
      <c r="G34" s="4">
        <v>125</v>
      </c>
      <c r="H34" s="4">
        <v>247</v>
      </c>
      <c r="I34" s="4">
        <v>352</v>
      </c>
      <c r="J34" s="4">
        <v>252</v>
      </c>
      <c r="K34" s="4">
        <v>699</v>
      </c>
      <c r="L34" s="4">
        <v>716</v>
      </c>
      <c r="M34" s="4">
        <v>266</v>
      </c>
      <c r="N34" s="4">
        <v>26</v>
      </c>
      <c r="O34" s="4">
        <v>47</v>
      </c>
      <c r="P34" s="1"/>
      <c r="Q34" s="1"/>
    </row>
    <row r="35" spans="1:17">
      <c r="A35" s="1" t="s">
        <v>40</v>
      </c>
      <c r="B35" s="4">
        <v>19</v>
      </c>
      <c r="C35" s="4">
        <v>80</v>
      </c>
      <c r="D35" s="4">
        <v>88</v>
      </c>
      <c r="E35" s="4">
        <v>27</v>
      </c>
      <c r="F35" s="4">
        <v>-23</v>
      </c>
      <c r="G35" s="4">
        <v>-27</v>
      </c>
      <c r="H35" s="4">
        <v>71</v>
      </c>
      <c r="I35" s="4">
        <v>203</v>
      </c>
      <c r="J35" s="4">
        <v>103</v>
      </c>
      <c r="K35" s="4">
        <v>237</v>
      </c>
      <c r="L35" s="4">
        <v>165</v>
      </c>
      <c r="M35" s="4">
        <v>12</v>
      </c>
      <c r="N35" s="4">
        <v>216</v>
      </c>
      <c r="O35" s="4">
        <v>391</v>
      </c>
      <c r="P35" s="1"/>
      <c r="Q35" s="1"/>
    </row>
    <row r="36" spans="1:17">
      <c r="A36" s="1" t="s">
        <v>92</v>
      </c>
      <c r="B36" s="4">
        <v>-5</v>
      </c>
      <c r="C36" s="4">
        <v>-3</v>
      </c>
      <c r="D36" s="4">
        <v>-4</v>
      </c>
      <c r="E36" s="4">
        <v>1</v>
      </c>
      <c r="F36" s="4">
        <v>0</v>
      </c>
      <c r="G36" s="4">
        <v>-1</v>
      </c>
      <c r="H36" s="4">
        <v>-1</v>
      </c>
      <c r="I36" s="4">
        <v>2</v>
      </c>
      <c r="J36" s="4">
        <v>0</v>
      </c>
      <c r="K36" s="4">
        <v>8</v>
      </c>
      <c r="L36" s="4">
        <v>9</v>
      </c>
      <c r="M36" s="4">
        <v>10</v>
      </c>
      <c r="N36" s="4">
        <v>-2</v>
      </c>
      <c r="O36" s="4">
        <v>-1</v>
      </c>
      <c r="P36" s="1"/>
      <c r="Q36" s="1"/>
    </row>
    <row r="37" spans="1:17">
      <c r="A37" s="1" t="s">
        <v>93</v>
      </c>
      <c r="B37" s="4">
        <v>118</v>
      </c>
      <c r="C37" s="4">
        <v>21</v>
      </c>
      <c r="D37" s="4">
        <v>-48</v>
      </c>
      <c r="E37" s="4">
        <v>-145</v>
      </c>
      <c r="F37" s="4">
        <v>80</v>
      </c>
      <c r="G37" s="4">
        <v>120</v>
      </c>
      <c r="H37" s="4">
        <v>116</v>
      </c>
      <c r="I37" s="4">
        <v>145</v>
      </c>
      <c r="J37" s="4">
        <v>-4</v>
      </c>
      <c r="K37" s="4">
        <v>-23</v>
      </c>
      <c r="L37" s="4">
        <v>-49</v>
      </c>
      <c r="M37" s="4">
        <v>-115</v>
      </c>
      <c r="N37" s="4">
        <v>91</v>
      </c>
      <c r="O37" s="4">
        <v>11</v>
      </c>
      <c r="P37" s="1"/>
      <c r="Q37" s="1"/>
    </row>
    <row r="38" spans="1:17">
      <c r="A38" s="1" t="s">
        <v>94</v>
      </c>
      <c r="B38" s="4">
        <v>-57</v>
      </c>
      <c r="C38" s="4">
        <v>20</v>
      </c>
      <c r="D38" s="4">
        <v>82</v>
      </c>
      <c r="E38" s="4">
        <v>501</v>
      </c>
      <c r="F38" s="4">
        <v>-171</v>
      </c>
      <c r="G38" s="4">
        <v>-143</v>
      </c>
      <c r="H38" s="4">
        <v>-57</v>
      </c>
      <c r="I38" s="4">
        <v>183</v>
      </c>
      <c r="J38" s="4">
        <v>-90</v>
      </c>
      <c r="K38" s="4">
        <v>111</v>
      </c>
      <c r="L38" s="4">
        <v>211</v>
      </c>
      <c r="M38" s="4">
        <v>281</v>
      </c>
      <c r="N38" s="4">
        <v>-94</v>
      </c>
      <c r="O38" s="4">
        <v>56</v>
      </c>
      <c r="P38" s="1"/>
      <c r="Q38" s="1"/>
    </row>
    <row r="39" spans="1:17">
      <c r="A39" s="1" t="s">
        <v>95</v>
      </c>
      <c r="B39" s="4">
        <v>6</v>
      </c>
      <c r="C39" s="4">
        <v>24</v>
      </c>
      <c r="D39" s="4">
        <v>80</v>
      </c>
      <c r="E39" s="4">
        <v>113</v>
      </c>
      <c r="F39" s="4">
        <v>7</v>
      </c>
      <c r="G39" s="4">
        <v>28</v>
      </c>
      <c r="H39" s="4">
        <v>61</v>
      </c>
      <c r="I39" s="4">
        <v>45</v>
      </c>
      <c r="J39" s="4">
        <v>3</v>
      </c>
      <c r="K39" s="4">
        <v>15</v>
      </c>
      <c r="L39" s="4">
        <v>40</v>
      </c>
      <c r="M39" s="4">
        <v>60</v>
      </c>
      <c r="N39" s="4">
        <v>35</v>
      </c>
      <c r="O39" s="4">
        <v>60</v>
      </c>
      <c r="P39" s="1"/>
      <c r="Q39" s="1"/>
    </row>
    <row r="40" spans="1:17">
      <c r="A40" s="1" t="s">
        <v>96</v>
      </c>
      <c r="B40" s="4">
        <v>1</v>
      </c>
      <c r="C40" s="4">
        <v>-1</v>
      </c>
      <c r="D40" s="4">
        <v>-3</v>
      </c>
      <c r="E40" s="4">
        <v>-5</v>
      </c>
      <c r="F40" s="4">
        <v>0</v>
      </c>
      <c r="G40" s="4">
        <v>4</v>
      </c>
      <c r="H40" s="4">
        <v>4</v>
      </c>
      <c r="I40" s="4">
        <v>3</v>
      </c>
      <c r="J40" s="4">
        <v>12</v>
      </c>
      <c r="K40" s="4">
        <v>20</v>
      </c>
      <c r="L40" s="4">
        <v>22</v>
      </c>
      <c r="M40" s="4">
        <v>22</v>
      </c>
      <c r="N40" s="4">
        <v>-3</v>
      </c>
      <c r="O40" s="4">
        <v>-9</v>
      </c>
      <c r="P40" s="1"/>
      <c r="Q40" s="1"/>
    </row>
    <row r="41" spans="1:17">
      <c r="A41" s="1" t="s">
        <v>97</v>
      </c>
      <c r="B41" s="4">
        <v>-10</v>
      </c>
      <c r="C41" s="4">
        <v>-20</v>
      </c>
      <c r="D41" s="4">
        <v>-29</v>
      </c>
      <c r="E41" s="4">
        <v>-38</v>
      </c>
      <c r="F41" s="4">
        <v>-9</v>
      </c>
      <c r="G41" s="4">
        <v>-18</v>
      </c>
      <c r="H41" s="4">
        <v>-27</v>
      </c>
      <c r="I41" s="4">
        <v>-36</v>
      </c>
      <c r="J41" s="4">
        <v>-13</v>
      </c>
      <c r="K41" s="4">
        <v>-19</v>
      </c>
      <c r="L41" s="4">
        <v>-30</v>
      </c>
      <c r="M41" s="4">
        <v>-36</v>
      </c>
      <c r="N41" s="4">
        <v>-8</v>
      </c>
      <c r="O41" s="4">
        <v>-15</v>
      </c>
      <c r="P41" s="1"/>
      <c r="Q41" s="1"/>
    </row>
    <row r="42" spans="1:17">
      <c r="A42" s="1" t="s">
        <v>98</v>
      </c>
      <c r="B42" s="4">
        <v>23</v>
      </c>
      <c r="C42" s="4">
        <v>49</v>
      </c>
      <c r="D42" s="4">
        <v>77</v>
      </c>
      <c r="E42" s="4">
        <v>111</v>
      </c>
      <c r="F42" s="4">
        <v>37</v>
      </c>
      <c r="G42" s="4">
        <v>78</v>
      </c>
      <c r="H42" s="4">
        <v>155</v>
      </c>
      <c r="I42" s="4">
        <v>216</v>
      </c>
      <c r="J42" s="4">
        <v>70</v>
      </c>
      <c r="K42" s="4">
        <v>127</v>
      </c>
      <c r="L42" s="4">
        <v>184</v>
      </c>
      <c r="M42" s="4">
        <v>242</v>
      </c>
      <c r="N42" s="4">
        <v>52</v>
      </c>
      <c r="O42" s="4">
        <v>100</v>
      </c>
      <c r="P42" s="1"/>
      <c r="Q42" s="1"/>
    </row>
    <row r="43" spans="1:17">
      <c r="A43" s="1" t="s">
        <v>99</v>
      </c>
      <c r="B43" s="4">
        <v>-10</v>
      </c>
      <c r="C43" s="4">
        <v>-25</v>
      </c>
      <c r="D43" s="4">
        <v>-32</v>
      </c>
      <c r="E43" s="4">
        <v>-43</v>
      </c>
      <c r="F43" s="4">
        <v>-5</v>
      </c>
      <c r="G43" s="4">
        <v>-28</v>
      </c>
      <c r="H43" s="4">
        <v>-43</v>
      </c>
      <c r="I43" s="4">
        <v>-53</v>
      </c>
      <c r="J43" s="4">
        <v>-19</v>
      </c>
      <c r="K43" s="4">
        <v>-77</v>
      </c>
      <c r="L43" s="4">
        <v>-82</v>
      </c>
      <c r="M43" s="4">
        <v>-86</v>
      </c>
      <c r="N43" s="4">
        <v>-36</v>
      </c>
      <c r="O43" s="4">
        <v>-121</v>
      </c>
      <c r="P43" s="1"/>
      <c r="Q43" s="1"/>
    </row>
    <row r="44" spans="1:17">
      <c r="A44" s="1" t="s">
        <v>100</v>
      </c>
      <c r="B44" s="4">
        <v>59</v>
      </c>
      <c r="C44" s="4">
        <v>72</v>
      </c>
      <c r="D44" s="4">
        <v>283</v>
      </c>
      <c r="E44" s="4">
        <v>680</v>
      </c>
      <c r="F44" s="4">
        <v>211</v>
      </c>
      <c r="G44" s="4">
        <v>703</v>
      </c>
      <c r="H44" s="4">
        <v>1418</v>
      </c>
      <c r="I44" s="4">
        <v>2301</v>
      </c>
      <c r="J44" s="4">
        <v>539</v>
      </c>
      <c r="K44" s="4">
        <v>1248</v>
      </c>
      <c r="L44" s="4">
        <v>2077</v>
      </c>
      <c r="M44" s="4">
        <v>2933</v>
      </c>
      <c r="N44" s="4">
        <v>836</v>
      </c>
      <c r="O44" s="4">
        <v>1652</v>
      </c>
      <c r="P44" s="1"/>
      <c r="Q44" s="1"/>
    </row>
    <row r="45" spans="1:17">
      <c r="A45" s="1" t="s">
        <v>101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-9</v>
      </c>
      <c r="N45" s="4">
        <v>0</v>
      </c>
      <c r="O45" s="4">
        <v>0</v>
      </c>
      <c r="P45" s="1"/>
      <c r="Q45" s="1"/>
    </row>
    <row r="46" spans="1:17">
      <c r="A46" s="1" t="s">
        <v>102</v>
      </c>
      <c r="B46" s="4">
        <v>-7</v>
      </c>
      <c r="C46" s="4">
        <v>-7</v>
      </c>
      <c r="D46" s="4">
        <v>-7</v>
      </c>
      <c r="E46" s="4">
        <v>-7</v>
      </c>
      <c r="F46" s="4">
        <v>-7</v>
      </c>
      <c r="G46" s="4">
        <v>-10</v>
      </c>
      <c r="H46" s="4">
        <v>-10</v>
      </c>
      <c r="I46" s="4">
        <v>-10</v>
      </c>
      <c r="J46" s="4">
        <v>-7</v>
      </c>
      <c r="K46" s="4">
        <v>-9</v>
      </c>
      <c r="L46" s="4">
        <v>-9</v>
      </c>
      <c r="M46" s="4">
        <v>-9</v>
      </c>
      <c r="N46" s="4">
        <v>0</v>
      </c>
      <c r="O46" s="4">
        <v>0</v>
      </c>
      <c r="P46" s="1"/>
      <c r="Q46" s="1"/>
    </row>
    <row r="47" spans="1:17">
      <c r="A47" s="1" t="s">
        <v>103</v>
      </c>
      <c r="B47" s="4">
        <v>-2</v>
      </c>
      <c r="C47" s="4">
        <v>-4</v>
      </c>
      <c r="D47" s="4">
        <v>-5</v>
      </c>
      <c r="E47" s="4">
        <v>-6</v>
      </c>
      <c r="F47" s="4">
        <v>-5</v>
      </c>
      <c r="G47" s="4">
        <v>-7</v>
      </c>
      <c r="H47" s="4">
        <v>-11</v>
      </c>
      <c r="I47" s="4">
        <v>-17</v>
      </c>
      <c r="J47" s="4">
        <v>-6</v>
      </c>
      <c r="K47" s="4">
        <v>-16</v>
      </c>
      <c r="L47" s="4">
        <v>-39</v>
      </c>
      <c r="M47" s="4">
        <v>-61</v>
      </c>
      <c r="N47" s="4">
        <v>-5</v>
      </c>
      <c r="O47" s="4">
        <v>-25</v>
      </c>
      <c r="P47" s="1"/>
      <c r="Q47" s="1"/>
    </row>
    <row r="48" spans="1:17">
      <c r="A48" s="1" t="s">
        <v>104</v>
      </c>
      <c r="B48" s="4">
        <v>-237</v>
      </c>
      <c r="C48" s="4">
        <v>-375</v>
      </c>
      <c r="D48" s="4">
        <v>-781</v>
      </c>
      <c r="E48" s="4">
        <v>-1590</v>
      </c>
      <c r="F48" s="4">
        <v>-998</v>
      </c>
      <c r="G48" s="4">
        <v>-2283</v>
      </c>
      <c r="H48" s="4">
        <v>-3722</v>
      </c>
      <c r="I48" s="4">
        <v>-7275</v>
      </c>
      <c r="J48" s="4">
        <v>-3929</v>
      </c>
      <c r="K48" s="4">
        <v>-8572</v>
      </c>
      <c r="L48" s="4">
        <v>-13355</v>
      </c>
      <c r="M48" s="4">
        <v>-19271</v>
      </c>
      <c r="N48" s="4">
        <v>-6740</v>
      </c>
      <c r="O48" s="4">
        <v>-14041</v>
      </c>
      <c r="P48" s="1"/>
      <c r="Q48" s="1"/>
    </row>
    <row r="49" spans="1:17">
      <c r="A49" s="1" t="s">
        <v>105</v>
      </c>
      <c r="B49" s="4">
        <v>111</v>
      </c>
      <c r="C49" s="4">
        <v>376</v>
      </c>
      <c r="D49" s="4">
        <v>577</v>
      </c>
      <c r="E49" s="4">
        <v>1379</v>
      </c>
      <c r="F49" s="4">
        <v>900</v>
      </c>
      <c r="G49" s="4">
        <v>2079</v>
      </c>
      <c r="H49" s="4">
        <v>3443</v>
      </c>
      <c r="I49" s="4">
        <v>5804</v>
      </c>
      <c r="J49" s="4">
        <v>3630</v>
      </c>
      <c r="K49" s="4">
        <v>7858</v>
      </c>
      <c r="L49" s="4">
        <v>12227</v>
      </c>
      <c r="M49" s="4">
        <v>17545</v>
      </c>
      <c r="N49" s="4">
        <v>7484</v>
      </c>
      <c r="O49" s="4">
        <v>14835</v>
      </c>
      <c r="P49" s="1"/>
      <c r="Q49" s="1"/>
    </row>
    <row r="50" spans="1:17">
      <c r="A50" s="1" t="s">
        <v>106</v>
      </c>
      <c r="B50" s="4">
        <v>0</v>
      </c>
      <c r="C50" s="4">
        <v>-2</v>
      </c>
      <c r="D50" s="4">
        <v>4</v>
      </c>
      <c r="E50" s="4">
        <v>4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2</v>
      </c>
      <c r="L50" s="4">
        <v>2</v>
      </c>
      <c r="M50" s="4">
        <v>2</v>
      </c>
      <c r="N50" s="4">
        <v>1</v>
      </c>
      <c r="O50" s="4">
        <v>3</v>
      </c>
      <c r="P50" s="1"/>
      <c r="Q50" s="1"/>
    </row>
    <row r="51" spans="1:17">
      <c r="A51" s="1" t="s">
        <v>107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18</v>
      </c>
      <c r="H51" s="4">
        <v>18</v>
      </c>
      <c r="I51" s="4">
        <v>19</v>
      </c>
      <c r="J51" s="4">
        <v>0</v>
      </c>
      <c r="K51" s="4">
        <v>22</v>
      </c>
      <c r="L51" s="4">
        <v>23</v>
      </c>
      <c r="M51" s="4">
        <v>23</v>
      </c>
      <c r="N51" s="4">
        <v>0</v>
      </c>
      <c r="O51" s="4">
        <v>29</v>
      </c>
      <c r="P51" s="1"/>
      <c r="Q51" s="1"/>
    </row>
    <row r="52" spans="1:17">
      <c r="A52" s="1" t="s">
        <v>108</v>
      </c>
      <c r="B52" s="4">
        <v>13</v>
      </c>
      <c r="C52" s="4">
        <v>3</v>
      </c>
      <c r="D52" s="4">
        <v>0</v>
      </c>
      <c r="E52" s="4">
        <v>3</v>
      </c>
      <c r="F52" s="4">
        <v>-5</v>
      </c>
      <c r="G52" s="4">
        <v>-4</v>
      </c>
      <c r="H52" s="4">
        <v>-7</v>
      </c>
      <c r="I52" s="4">
        <v>-8</v>
      </c>
      <c r="J52" s="4">
        <v>-3</v>
      </c>
      <c r="K52" s="4">
        <v>-3</v>
      </c>
      <c r="L52" s="4">
        <v>-5</v>
      </c>
      <c r="M52" s="4">
        <v>-5</v>
      </c>
      <c r="N52" s="4">
        <v>-8</v>
      </c>
      <c r="O52" s="4">
        <v>-7</v>
      </c>
      <c r="P52" s="1"/>
      <c r="Q52" s="1"/>
    </row>
    <row r="53" spans="1:17">
      <c r="A53" s="1" t="s">
        <v>109</v>
      </c>
      <c r="B53" s="4">
        <v>-122</v>
      </c>
      <c r="C53" s="4">
        <v>-9</v>
      </c>
      <c r="D53" s="4">
        <v>-212</v>
      </c>
      <c r="E53" s="4">
        <v>-217</v>
      </c>
      <c r="F53" s="4">
        <v>-114</v>
      </c>
      <c r="G53" s="4">
        <v>-206</v>
      </c>
      <c r="H53" s="4">
        <v>-288</v>
      </c>
      <c r="I53" s="4">
        <v>-1486</v>
      </c>
      <c r="J53" s="4">
        <v>-314</v>
      </c>
      <c r="K53" s="4">
        <v>-718</v>
      </c>
      <c r="L53" s="4">
        <v>-1156</v>
      </c>
      <c r="M53" s="4">
        <v>-1785</v>
      </c>
      <c r="N53" s="4">
        <v>732</v>
      </c>
      <c r="O53" s="4">
        <v>794</v>
      </c>
      <c r="P53" s="1"/>
      <c r="Q53" s="1"/>
    </row>
    <row r="54" spans="1:17">
      <c r="A54" s="1" t="s">
        <v>110</v>
      </c>
      <c r="B54" s="4">
        <v>75</v>
      </c>
      <c r="C54" s="4">
        <v>110</v>
      </c>
      <c r="D54" s="4">
        <v>142</v>
      </c>
      <c r="E54" s="4">
        <v>366</v>
      </c>
      <c r="F54" s="4">
        <v>242</v>
      </c>
      <c r="G54" s="4">
        <v>482</v>
      </c>
      <c r="H54" s="4">
        <v>634</v>
      </c>
      <c r="I54" s="4">
        <v>933</v>
      </c>
      <c r="J54" s="4">
        <v>204</v>
      </c>
      <c r="K54" s="4">
        <v>296</v>
      </c>
      <c r="L54" s="4">
        <v>335</v>
      </c>
      <c r="M54" s="4">
        <v>372</v>
      </c>
      <c r="N54" s="4">
        <v>64</v>
      </c>
      <c r="O54" s="4">
        <v>128</v>
      </c>
      <c r="P54" s="1"/>
      <c r="Q54" s="1"/>
    </row>
    <row r="55" spans="1:17">
      <c r="A55" s="1" t="s">
        <v>111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-58</v>
      </c>
      <c r="M55" s="4">
        <v>-439</v>
      </c>
      <c r="N55" s="4">
        <v>-306</v>
      </c>
      <c r="O55" s="4">
        <v>-538</v>
      </c>
      <c r="P55" s="1"/>
      <c r="Q55" s="1"/>
    </row>
    <row r="56" spans="1:17">
      <c r="A56" s="1" t="s">
        <v>112</v>
      </c>
      <c r="B56" s="4">
        <v>-15</v>
      </c>
      <c r="C56" s="4">
        <v>-42</v>
      </c>
      <c r="D56" s="4">
        <v>-55</v>
      </c>
      <c r="E56" s="4">
        <v>-66</v>
      </c>
      <c r="F56" s="4">
        <v>-15</v>
      </c>
      <c r="G56" s="4">
        <v>-39</v>
      </c>
      <c r="H56" s="4">
        <v>-57</v>
      </c>
      <c r="I56" s="4">
        <v>-69</v>
      </c>
      <c r="J56" s="4">
        <v>-22</v>
      </c>
      <c r="K56" s="4">
        <v>-44</v>
      </c>
      <c r="L56" s="4">
        <v>-59</v>
      </c>
      <c r="M56" s="4">
        <v>-73</v>
      </c>
      <c r="N56" s="4">
        <v>-20</v>
      </c>
      <c r="O56" s="4">
        <v>-36</v>
      </c>
      <c r="P56" s="1"/>
      <c r="Q56" s="1"/>
    </row>
    <row r="57" spans="1:17">
      <c r="A57" s="1" t="s">
        <v>113</v>
      </c>
      <c r="B57" s="4">
        <v>2</v>
      </c>
      <c r="C57" s="4">
        <v>2</v>
      </c>
      <c r="D57" s="4">
        <v>2</v>
      </c>
      <c r="E57" s="4">
        <v>2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1"/>
      <c r="Q57" s="1"/>
    </row>
    <row r="58" spans="1:17">
      <c r="A58" s="1" t="s">
        <v>114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-1304</v>
      </c>
      <c r="O58" s="4">
        <v>-1304</v>
      </c>
      <c r="P58" s="1"/>
      <c r="Q58" s="1"/>
    </row>
    <row r="59" spans="1:17">
      <c r="A59" s="1" t="s">
        <v>115</v>
      </c>
      <c r="B59" s="4">
        <v>-13</v>
      </c>
      <c r="C59" s="4">
        <v>-29</v>
      </c>
      <c r="D59" s="4">
        <v>-49</v>
      </c>
      <c r="E59" s="4">
        <v>-68</v>
      </c>
      <c r="F59" s="4">
        <v>-25</v>
      </c>
      <c r="G59" s="4">
        <v>-57</v>
      </c>
      <c r="H59" s="4">
        <v>-92</v>
      </c>
      <c r="I59" s="4">
        <v>-135</v>
      </c>
      <c r="J59" s="4">
        <v>-56</v>
      </c>
      <c r="K59" s="4">
        <v>-115</v>
      </c>
      <c r="L59" s="4">
        <v>-181</v>
      </c>
      <c r="M59" s="4">
        <v>-241</v>
      </c>
      <c r="N59" s="4">
        <v>-45</v>
      </c>
      <c r="O59" s="4">
        <v>-79</v>
      </c>
      <c r="P59" s="1"/>
      <c r="Q59" s="1"/>
    </row>
    <row r="60" spans="1:17">
      <c r="A60" s="1" t="s">
        <v>116</v>
      </c>
      <c r="B60" s="4">
        <v>49</v>
      </c>
      <c r="C60" s="4">
        <v>41</v>
      </c>
      <c r="D60" s="4">
        <v>40</v>
      </c>
      <c r="E60" s="4">
        <v>234</v>
      </c>
      <c r="F60" s="4">
        <v>202</v>
      </c>
      <c r="G60" s="4">
        <v>386</v>
      </c>
      <c r="H60" s="4">
        <v>485</v>
      </c>
      <c r="I60" s="4">
        <v>729</v>
      </c>
      <c r="J60" s="4">
        <v>126</v>
      </c>
      <c r="K60" s="4">
        <v>137</v>
      </c>
      <c r="L60" s="4">
        <v>37</v>
      </c>
      <c r="M60" s="4">
        <v>-381</v>
      </c>
      <c r="N60" s="4">
        <v>-1611</v>
      </c>
      <c r="O60" s="4">
        <v>-1829</v>
      </c>
      <c r="P60" s="1"/>
      <c r="Q60" s="1"/>
    </row>
    <row r="61" spans="1:17">
      <c r="A61" s="1" t="s">
        <v>117</v>
      </c>
      <c r="B61" s="4">
        <v>-14</v>
      </c>
      <c r="C61" s="4">
        <v>104</v>
      </c>
      <c r="D61" s="4">
        <v>111</v>
      </c>
      <c r="E61" s="4">
        <v>697</v>
      </c>
      <c r="F61" s="4">
        <v>299</v>
      </c>
      <c r="G61" s="4">
        <v>883</v>
      </c>
      <c r="H61" s="4">
        <v>1615</v>
      </c>
      <c r="I61" s="4">
        <v>1544</v>
      </c>
      <c r="J61" s="4">
        <v>351</v>
      </c>
      <c r="K61" s="4">
        <v>667</v>
      </c>
      <c r="L61" s="4">
        <v>958</v>
      </c>
      <c r="M61" s="4">
        <v>767</v>
      </c>
      <c r="N61" s="4">
        <v>-43</v>
      </c>
      <c r="O61" s="4">
        <v>617</v>
      </c>
      <c r="P61" s="1"/>
      <c r="Q61" s="1"/>
    </row>
    <row r="62" spans="1:17">
      <c r="A62" s="1" t="s">
        <v>118</v>
      </c>
      <c r="B62" s="4">
        <v>2483</v>
      </c>
      <c r="C62" s="4">
        <v>2483</v>
      </c>
      <c r="D62" s="4">
        <v>2483</v>
      </c>
      <c r="E62" s="4">
        <v>2483</v>
      </c>
      <c r="F62" s="4">
        <v>3114</v>
      </c>
      <c r="G62" s="4">
        <v>3114</v>
      </c>
      <c r="H62" s="4">
        <v>3114</v>
      </c>
      <c r="I62" s="4">
        <v>3114</v>
      </c>
      <c r="J62" s="4">
        <v>4781</v>
      </c>
      <c r="K62" s="4">
        <v>4781</v>
      </c>
      <c r="L62" s="4">
        <v>4781</v>
      </c>
      <c r="M62" s="4">
        <v>4781</v>
      </c>
      <c r="N62" s="4">
        <v>5258</v>
      </c>
      <c r="O62" s="4">
        <v>5258</v>
      </c>
      <c r="P62" s="1"/>
      <c r="Q62" s="1"/>
    </row>
    <row r="63" spans="1:17">
      <c r="A63" s="1" t="s">
        <v>119</v>
      </c>
      <c r="B63" s="4">
        <v>-26</v>
      </c>
      <c r="C63" s="4">
        <v>-37</v>
      </c>
      <c r="D63" s="4">
        <v>21</v>
      </c>
      <c r="E63" s="4">
        <v>-66</v>
      </c>
      <c r="F63" s="4">
        <v>38</v>
      </c>
      <c r="G63" s="4">
        <v>57</v>
      </c>
      <c r="H63" s="4">
        <v>-41</v>
      </c>
      <c r="I63" s="4">
        <v>123</v>
      </c>
      <c r="J63" s="4">
        <v>-113</v>
      </c>
      <c r="K63" s="4">
        <v>-287</v>
      </c>
      <c r="L63" s="4">
        <v>-283</v>
      </c>
      <c r="M63" s="4">
        <v>-290</v>
      </c>
      <c r="N63" s="4">
        <v>40</v>
      </c>
      <c r="O63" s="4">
        <v>63</v>
      </c>
      <c r="P63" s="1"/>
      <c r="Q63" s="1"/>
    </row>
    <row r="64" spans="1:17">
      <c r="A64" s="1" t="s">
        <v>120</v>
      </c>
      <c r="B64" s="4">
        <v>2443</v>
      </c>
      <c r="C64" s="4">
        <v>2550</v>
      </c>
      <c r="D64" s="4">
        <v>2615</v>
      </c>
      <c r="E64" s="4">
        <v>3114</v>
      </c>
      <c r="F64" s="4">
        <v>3451</v>
      </c>
      <c r="G64" s="4">
        <v>4054</v>
      </c>
      <c r="H64" s="4">
        <v>4688</v>
      </c>
      <c r="I64" s="4">
        <v>4781</v>
      </c>
      <c r="J64" s="4">
        <v>5019</v>
      </c>
      <c r="K64" s="4">
        <v>5161</v>
      </c>
      <c r="L64" s="4">
        <v>5456</v>
      </c>
      <c r="M64" s="4">
        <v>5258</v>
      </c>
      <c r="N64" s="4">
        <v>5255</v>
      </c>
      <c r="O64" s="4">
        <v>5938</v>
      </c>
      <c r="P64" s="1"/>
      <c r="Q64" s="1"/>
    </row>
    <row r="65" spans="1:17">
      <c r="A65" s="1" t="s">
        <v>121</v>
      </c>
      <c r="B65" s="4">
        <v>15</v>
      </c>
      <c r="C65" s="4">
        <v>0</v>
      </c>
      <c r="D65" s="4">
        <v>22</v>
      </c>
      <c r="E65" s="4">
        <v>0</v>
      </c>
      <c r="F65" s="4">
        <v>13</v>
      </c>
      <c r="G65" s="4">
        <v>0</v>
      </c>
      <c r="H65" s="4">
        <v>0</v>
      </c>
      <c r="I65" s="4">
        <v>0</v>
      </c>
      <c r="J65" s="4">
        <v>18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1"/>
      <c r="Q65" s="1"/>
    </row>
    <row r="66" spans="1:1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 Table</vt:lpstr>
      <vt:lpstr>Model</vt:lpstr>
      <vt:lpstr>Trading Comps</vt:lpstr>
      <vt:lpstr>Valuation</vt:lpstr>
      <vt:lpstr>Assumptions</vt:lpstr>
      <vt:lpstr>Raw 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Zihe</cp:lastModifiedBy>
  <dcterms:modified xsi:type="dcterms:W3CDTF">2026-10-03T01:37:55Z</dcterms:modified>
</cp:coreProperties>
</file>